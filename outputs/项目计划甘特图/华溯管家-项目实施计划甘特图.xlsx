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3ba32a700546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甘特图" sheetId="1" r:id="R0dbaf87750044c6a"/>
    <x:sheet xmlns:r="http://schemas.openxmlformats.org/officeDocument/2006/relationships" name="里程碑与风险" sheetId="2" r:id="R66ecc4ece8ca4d53"/>
    <x:sheet xmlns:r="http://schemas.openxmlformats.org/officeDocument/2006/relationships" name="参数与说明" sheetId="3" r:id="R77882520893343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%"/>
    <x:numFmt numFmtId="202" formatCode="m/d"/>
    <x:numFmt numFmtId="203" formatCode="0"/>
    <x:numFmt numFmtId="204" formatCode=";;;"/>
  </x:numFmts>
  <x:fonts count="11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0B1F3A"/>
      <x:name val="Carlito"/>
    </x:font>
    <x:font>
      <x:b/>
      <x:sz val="11"/>
      <x:name val="Carlito"/>
    </x:font>
    <x:font>
      <x:b/>
      <x:sz val="20"/>
      <x:color rgb="FFFFFFFF"/>
      <x:name val="Carlito"/>
    </x:font>
    <x:font>
      <x:sz val="11"/>
      <x:color rgb="FF0B1F3A"/>
      <x:name val="Carlito"/>
    </x:font>
    <x:font>
      <x:b/>
      <x:sz val="13"/>
      <x:color rgb="FF0B1F3A"/>
      <x:name val="Carlito"/>
    </x:font>
    <x:font>
      <x:i/>
      <x:sz val="11"/>
      <x:color rgb="FF7C5B00"/>
      <x:name val="Carlito"/>
    </x:font>
    <x:font>
      <x:b/>
      <x:sz val="9"/>
      <x:color rgb="FFFFFFFF"/>
      <x:name val="Carlito"/>
    </x:font>
    <x:font>
      <x:sz val="10"/>
      <x:color rgb="FF1E293B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2563EB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E2E8F0"/>
      </x:patternFill>
    </x:fill>
    <x:fill>
      <x:patternFill patternType="solid">
        <x:fgColor rgb="FFFFF7D6"/>
      </x:patternFill>
    </x:fill>
    <x:fill>
      <x:patternFill patternType="solid">
        <x:fgColor rgb="FFE8EEF8"/>
      </x:patternFill>
    </x:fill>
    <x:fill>
      <x:patternFill patternType="solid">
        <x:fgColor rgb="FF475569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93C5FD"/>
      </x:left>
      <x:right style="thin">
        <x:color rgb="FF93C5FD"/>
      </x:right>
      <x:top style="thin">
        <x:color rgb="FF93C5FD"/>
      </x:top>
      <x:bottom style="thin">
        <x:color rgb="FF93C5FD"/>
      </x:bottom>
    </x:border>
    <x:border>
      <x:left style="thin">
        <x:color rgb="FF475569"/>
      </x:left>
      <x:right style="thin">
        <x:color rgb="FF475569"/>
      </x:right>
      <x:top style="thin">
        <x:color rgb="FF475569"/>
      </x:top>
      <x:bottom style="thin">
        <x:color rgb="FF475569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4" borderId="0" xfId="0" applyNumberFormat="1" applyFont="1" applyFill="1" applyBorder="1"/>
    <x:xf numFmtId="0" fontId="4" fillId="5" borderId="0" xfId="0" applyNumberFormat="1" applyFont="1" applyFill="1" applyBorder="1"/>
    <x:xf numFmtId="0" fontId="4" fillId="6" borderId="0" xfId="0" applyNumberFormat="1" applyFont="1" applyFill="1" applyBorder="1"/>
    <x:xf numFmtId="0" fontId="4" fillId="7" borderId="0" xfId="0" applyNumberFormat="1" applyFont="1" applyFill="1" applyBorder="1"/>
    <x:xf numFmtId="200" fontId="0" fillId="8" borderId="0" xfId="0" applyNumberFormat="1" applyFont="1" applyFill="1" applyBorder="1"/>
    <x:xf numFmtId="0" fontId="0" fillId="8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10" borderId="1" xfId="0" applyNumberFormat="1" applyFont="1" applyFill="1" applyBorder="1" applyAlignment="1">
      <x:alignment vertical="center"/>
    </x:xf>
    <x:xf numFmtId="0" fontId="0" fillId="10" borderId="2" xfId="0" applyNumberFormat="1" applyFont="1" applyFill="1" applyBorder="1" applyAlignment="1">
      <x:alignment vertical="center"/>
    </x:xf>
    <x:xf numFmtId="0" fontId="2" fillId="10" borderId="1" xfId="0" applyNumberFormat="1" applyFont="1" applyFill="1" applyBorder="1" applyAlignment="1">
      <x:alignment vertical="center"/>
    </x:xf>
    <x:xf numFmtId="0" fontId="2" fillId="10" borderId="2" xfId="0" applyNumberFormat="1" applyFont="1" applyFill="1" applyBorder="1" applyAlignment="1">
      <x:alignment vertical="center"/>
    </x:xf>
    <x:xf numFmtId="0" fontId="2" fillId="10" borderId="1" xfId="0" applyNumberFormat="1" applyFont="1" applyFill="1" applyBorder="1" applyAlignment="1">
      <x:alignment horizontal="center" vertical="center"/>
    </x:xf>
    <x:xf numFmtId="0" fontId="2" fillId="10" borderId="2" xfId="0" applyNumberFormat="1" applyFont="1" applyFill="1" applyBorder="1" applyAlignment="1">
      <x:alignment horizontal="center" vertical="center"/>
    </x:xf>
    <x:xf numFmtId="0" fontId="0" fillId="11" borderId="2" xfId="0" applyNumberFormat="1" applyFont="1" applyFill="1" applyBorder="1" applyAlignment="1">
      <x:alignment vertical="center"/>
    </x:xf>
    <x:xf numFmtId="0" fontId="7" fillId="11" borderId="2" xfId="0" applyNumberFormat="1" applyFont="1" applyFill="1" applyBorder="1" applyAlignment="1">
      <x:alignment vertical="center"/>
    </x:xf>
    <x:xf numFmtId="0" fontId="7" fillId="11" borderId="1" xfId="0" applyNumberFormat="1" applyFont="1" applyFill="1" applyBorder="1" applyAlignment="1">
      <x:alignment vertical="center"/>
    </x:xf>
    <x:xf numFmtId="0" fontId="7" fillId="11" borderId="3" xfId="0" applyNumberFormat="1" applyFont="1" applyFill="1" applyBorder="1" applyAlignment="1">
      <x:alignment vertical="center"/>
    </x:xf>
    <x:xf numFmtId="0" fontId="7" fillId="11" borderId="1" xfId="0" applyNumberFormat="1" applyFont="1" applyFill="1" applyBorder="1" applyAlignment="1">
      <x:alignment horizontal="center" vertical="center"/>
    </x:xf>
    <x:xf numFmtId="0" fontId="7" fillId="11" borderId="3" xfId="0" applyNumberFormat="1" applyFont="1" applyFill="1" applyBorder="1" applyAlignment="1">
      <x:alignment horizontal="center" vertical="center"/>
    </x:xf>
    <x:xf numFmtId="0" fontId="0" fillId="11" borderId="3" xfId="0" applyNumberFormat="1" applyFont="1" applyFill="1" applyBorder="1" applyAlignment="1">
      <x:alignment vertical="center"/>
    </x:xf>
    <x:xf numFmtId="0" fontId="7" fillId="11" borderId="2" xfId="0" applyNumberFormat="1" applyFont="1" applyFill="1" applyBorder="1" applyAlignment="1">
      <x:alignment horizontal="center" vertical="center"/>
    </x:xf>
    <x:xf numFmtId="201" fontId="7" fillId="11" borderId="1" xfId="0" applyNumberFormat="1" applyFont="1" applyFill="1" applyBorder="1" applyAlignment="1">
      <x:alignment horizontal="center" vertical="center"/>
    </x:xf>
    <x:xf numFmtId="200" fontId="7" fillId="11" borderId="1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2" borderId="0" xfId="0" applyNumberFormat="1" applyFont="1" applyFill="1" applyBorder="1"/>
    <x:xf numFmtId="202" fontId="9" fillId="2" borderId="0" xfId="0" applyNumberFormat="1" applyFont="1" applyFill="1" applyBorder="1"/>
    <x:xf numFmtId="0" fontId="9" fillId="2" borderId="0" xfId="0" applyNumberFormat="1" applyFont="1" applyFill="1" applyBorder="1"/>
    <x:xf numFmtId="202" fontId="9" fillId="2" borderId="5" xfId="0" applyNumberFormat="1" applyFont="1" applyFill="1" applyBorder="1"/>
    <x:xf numFmtId="0" fontId="9" fillId="2" borderId="5" xfId="0" applyNumberFormat="1" applyFont="1" applyFill="1" applyBorder="1"/>
    <x:xf numFmtId="202" fontId="9" fillId="2" borderId="5" xfId="0" applyNumberFormat="1" applyFont="1" applyFill="1" applyBorder="1" applyAlignment="1">
      <x:alignment horizontal="center"/>
    </x:xf>
    <x:xf numFmtId="0" fontId="9" fillId="2" borderId="5" xfId="0" applyNumberFormat="1" applyFont="1" applyFill="1" applyBorder="1" applyAlignment="1">
      <x:alignment horizontal="center"/>
    </x:xf>
    <x:xf numFmtId="202" fontId="9" fillId="2" borderId="5" xfId="0" applyNumberFormat="1" applyFont="1" applyFill="1" applyBorder="1" applyAlignment="1">
      <x:alignment horizontal="center" vertical="center"/>
    </x:xf>
    <x:xf numFmtId="0" fontId="9" fillId="2" borderId="5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10" fillId="0" borderId="6" xfId="0" applyNumberFormat="1" applyFont="1" applyFill="1" applyBorder="1"/>
    <x:xf numFmtId="0" fontId="10" fillId="0" borderId="7" xfId="0" applyNumberFormat="1" applyFont="1" applyFill="1" applyBorder="1"/>
    <x:xf numFmtId="0" fontId="10" fillId="0" borderId="8" xfId="0" applyNumberFormat="1" applyFont="1" applyFill="1" applyBorder="1"/>
    <x:xf numFmtId="0" fontId="10" fillId="0" borderId="6" xfId="0" applyNumberFormat="1" applyFont="1" applyFill="1" applyBorder="1" applyAlignment="1">
      <x:alignment wrapText="1"/>
    </x:xf>
    <x:xf numFmtId="0" fontId="10" fillId="0" borderId="7" xfId="0" applyNumberFormat="1" applyFont="1" applyFill="1" applyBorder="1" applyAlignment="1">
      <x:alignment wrapText="1"/>
    </x:xf>
    <x:xf numFmtId="0" fontId="10" fillId="0" borderId="8" xfId="0" applyNumberFormat="1" applyFont="1" applyFill="1" applyBorder="1" applyAlignment="1">
      <x:alignment wrapText="1"/>
    </x:xf>
    <x:xf numFmtId="0" fontId="10" fillId="0" borderId="6" xfId="0" applyNumberFormat="1" applyFont="1" applyFill="1" applyBorder="1" applyAlignment="1">
      <x:alignment vertical="center" wrapText="1"/>
    </x:xf>
    <x:xf numFmtId="0" fontId="10" fillId="0" borderId="7" xfId="0" applyNumberFormat="1" applyFont="1" applyFill="1" applyBorder="1" applyAlignment="1">
      <x:alignment vertical="center" wrapText="1"/>
    </x:xf>
    <x:xf numFmtId="0" fontId="10" fillId="0" borderId="8" xfId="0" applyNumberFormat="1" applyFont="1" applyFill="1" applyBorder="1" applyAlignment="1">
      <x:alignment vertical="center" wrapText="1"/>
    </x:xf>
    <x:xf numFmtId="0" fontId="10" fillId="0" borderId="6" xfId="0" applyNumberFormat="1" applyFont="1" applyFill="1" applyBorder="1" applyAlignment="1">
      <x:alignment horizontal="center" vertical="center" wrapText="1"/>
    </x:xf>
    <x:xf numFmtId="0" fontId="10" fillId="0" borderId="7" xfId="0" applyNumberFormat="1" applyFont="1" applyFill="1" applyBorder="1" applyAlignment="1">
      <x:alignment horizontal="center" vertical="center" wrapText="1"/>
    </x:xf>
    <x:xf numFmtId="0" fontId="10" fillId="0" borderId="8" xfId="0" applyNumberFormat="1" applyFont="1" applyFill="1" applyBorder="1" applyAlignment="1">
      <x:alignment horizontal="center" vertical="center" wrapText="1"/>
    </x:xf>
    <x:xf numFmtId="200" fontId="10" fillId="0" borderId="6" xfId="0" applyNumberFormat="1" applyFont="1" applyFill="1" applyBorder="1" applyAlignment="1">
      <x:alignment horizontal="center" vertical="center" wrapText="1"/>
    </x:xf>
    <x:xf numFmtId="200" fontId="10" fillId="0" borderId="7" xfId="0" applyNumberFormat="1" applyFont="1" applyFill="1" applyBorder="1" applyAlignment="1">
      <x:alignment horizontal="center" vertical="center" wrapText="1"/>
    </x:xf>
    <x:xf numFmtId="200" fontId="10" fillId="0" borderId="8" xfId="0" applyNumberFormat="1" applyFont="1" applyFill="1" applyBorder="1" applyAlignment="1">
      <x:alignment horizontal="center" vertical="center" wrapText="1"/>
    </x:xf>
    <x:xf numFmtId="203" fontId="10" fillId="0" borderId="6" xfId="0" applyNumberFormat="1" applyFont="1" applyFill="1" applyBorder="1" applyAlignment="1">
      <x:alignment horizontal="center" vertical="center" wrapText="1"/>
    </x:xf>
    <x:xf numFmtId="203" fontId="10" fillId="0" borderId="7" xfId="0" applyNumberFormat="1" applyFont="1" applyFill="1" applyBorder="1" applyAlignment="1">
      <x:alignment horizontal="center" vertical="center" wrapText="1"/>
    </x:xf>
    <x:xf numFmtId="203" fontId="10" fillId="0" borderId="8" xfId="0" applyNumberFormat="1" applyFont="1" applyFill="1" applyBorder="1" applyAlignment="1">
      <x:alignment horizontal="center" vertical="center" wrapText="1"/>
    </x:xf>
    <x:xf numFmtId="201" fontId="10" fillId="0" borderId="6" xfId="0" applyNumberFormat="1" applyFont="1" applyFill="1" applyBorder="1" applyAlignment="1">
      <x:alignment vertical="center" wrapText="1"/>
    </x:xf>
    <x:xf numFmtId="201" fontId="10" fillId="0" borderId="7" xfId="0" applyNumberFormat="1" applyFont="1" applyFill="1" applyBorder="1" applyAlignment="1">
      <x:alignment vertical="center" wrapText="1"/>
    </x:xf>
    <x:xf numFmtId="201" fontId="10" fillId="0" borderId="8" xfId="0" applyNumberFormat="1" applyFont="1" applyFill="1" applyBorder="1" applyAlignment="1">
      <x:alignment vertical="center" wrapText="1"/>
    </x:xf>
    <x:xf numFmtId="200" fontId="10" fillId="8" borderId="6" xfId="0" applyNumberFormat="1" applyFont="1" applyFill="1" applyBorder="1" applyAlignment="1">
      <x:alignment horizontal="center" vertical="center" wrapText="1"/>
    </x:xf>
    <x:xf numFmtId="200" fontId="10" fillId="8" borderId="7" xfId="0" applyNumberFormat="1" applyFont="1" applyFill="1" applyBorder="1" applyAlignment="1">
      <x:alignment horizontal="center" vertical="center" wrapText="1"/>
    </x:xf>
    <x:xf numFmtId="200" fontId="10" fillId="8" borderId="8" xfId="0" applyNumberFormat="1" applyFont="1" applyFill="1" applyBorder="1" applyAlignment="1">
      <x:alignment horizontal="center" vertical="center" wrapText="1"/>
    </x:xf>
    <x:xf numFmtId="201" fontId="10" fillId="8" borderId="6" xfId="0" applyNumberFormat="1" applyFont="1" applyFill="1" applyBorder="1" applyAlignment="1">
      <x:alignment vertical="center" wrapText="1"/>
    </x:xf>
    <x:xf numFmtId="201" fontId="10" fillId="8" borderId="7" xfId="0" applyNumberFormat="1" applyFont="1" applyFill="1" applyBorder="1" applyAlignment="1">
      <x:alignment vertical="center" wrapText="1"/>
    </x:xf>
    <x:xf numFmtId="201" fontId="10" fillId="8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/>
    <x:xf numFmtId="204" fontId="0" fillId="0" borderId="9" xfId="0" applyNumberFormat="1" applyFont="1" applyFill="1" applyBorder="1"/>
    <x:xf numFmtId="204" fontId="0" fillId="0" borderId="9" xfId="0" applyNumberFormat="1" applyFont="1" applyFill="1" applyBorder="1" applyAlignment="1">
      <x:alignment horizontal="center"/>
    </x:xf>
    <x:xf numFmtId="204" fontId="0" fillId="0" borderId="9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horizontal="center"/>
    </x:xf>
    <x:xf numFmtId="0" fontId="2" fillId="10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6">
    <x:dxf>
      <x:font>
        <x:color rgb="FF2563EB"/>
      </x:font>
      <x:fill>
        <x:patternFill patternType="solid">
          <x:bgColor rgb="FF2563EB"/>
        </x:patternFill>
      </x:fill>
    </x:dxf>
    <x:dxf>
      <x:font>
        <x:color rgb="FFDBEAFE"/>
      </x:font>
      <x:fill>
        <x:patternFill patternType="solid">
          <x:bgColor rgb="FFDBEAFE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9c8a1a059f4052" /><Relationship Type="http://schemas.openxmlformats.org/officeDocument/2006/relationships/theme" Target="/xl/theme/theme1.xml" Id="Re02ed2e7a61f41fd" /><Relationship Type="http://schemas.openxmlformats.org/officeDocument/2006/relationships/sharedStrings" Target="/xl/sharedStrings.xml" Id="R8080392f8bde42ba" /><Relationship Type="http://schemas.openxmlformats.org/officeDocument/2006/relationships/worksheet" Target="/xl/worksheets/sheet1.xml" Id="R0dbaf87750044c6a" /><Relationship Type="http://schemas.openxmlformats.org/officeDocument/2006/relationships/worksheet" Target="/xl/worksheets/sheet2.xml" Id="R66ecc4ece8ca4d53" /><Relationship Type="http://schemas.openxmlformats.org/officeDocument/2006/relationships/worksheet" Target="/xl/worksheets/sheet3.xml" Id="R77882520893343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28" hidden="0" customWidth="1"/>
    <x:col min="4" max="4" width="34" hidden="0" customWidth="1"/>
    <x:col min="5" max="5" width="25" hidden="0" customWidth="1"/>
    <x:col min="6" max="6" width="12" hidden="0" customWidth="1"/>
    <x:col min="7" max="7" width="18" hidden="0" customWidth="1"/>
    <x:col min="8" max="8" width="12" hidden="0" customWidth="1"/>
    <x:col min="9" max="9" width="12" hidden="0" customWidth="1"/>
    <x:col min="10" max="10" width="7" hidden="0" customWidth="1"/>
    <x:col min="11" max="11" width="12" hidden="0" customWidth="1"/>
    <x:col min="12" max="12" width="10" hidden="0" customWidth="1"/>
    <x:col min="13" max="13" width="8" hidden="0" customWidth="1"/>
    <x:col min="14" max="14" width="9" hidden="0" customWidth="1"/>
    <x:col min="15" max="15" width="4.199999809265137" hidden="0" customWidth="1"/>
    <x:col min="16" max="16" width="4.199999809265137" hidden="0" customWidth="1"/>
    <x:col min="17" max="17" width="4.199999809265137" hidden="0" customWidth="1"/>
    <x:col min="18" max="18" width="4.199999809265137" hidden="0" customWidth="1"/>
    <x:col min="19" max="19" width="4.199999809265137" hidden="0" customWidth="1"/>
    <x:col min="20" max="20" width="4.199999809265137" hidden="0" customWidth="1"/>
    <x:col min="21" max="21" width="4.199999809265137" hidden="0" customWidth="1"/>
    <x:col min="22" max="22" width="4.199999809265137" hidden="0" customWidth="1"/>
    <x:col min="23" max="23" width="4.199999809265137" hidden="0" customWidth="1"/>
    <x:col min="24" max="24" width="4.199999809265137" hidden="0" customWidth="1"/>
    <x:col min="25" max="25" width="4.199999809265137" hidden="0" customWidth="1"/>
    <x:col min="26" max="26" width="4.199999809265137" hidden="0" customWidth="1"/>
    <x:col min="27" max="27" width="4.199999809265137" hidden="0" customWidth="1"/>
    <x:col min="28" max="28" width="4.199999809265137" hidden="0" customWidth="1"/>
    <x:col min="29" max="29" width="4.199999809265137" hidden="0" customWidth="1"/>
    <x:col min="30" max="30" width="4.199999809265137" hidden="0" customWidth="1"/>
    <x:col min="31" max="31" width="4.199999809265137" hidden="0" customWidth="1"/>
    <x:col min="32" max="32" width="4.199999809265137" hidden="0" customWidth="1"/>
    <x:col min="33" max="33" width="4.199999809265137" hidden="0" customWidth="1"/>
    <x:col min="34" max="34" width="4.199999809265137" hidden="0" customWidth="1"/>
    <x:col min="35" max="35" width="4.199999809265137" hidden="0" customWidth="1"/>
    <x:col min="36" max="36" width="4.199999809265137" hidden="0" customWidth="1"/>
    <x:col min="37" max="37" width="4.199999809265137" hidden="0" customWidth="1"/>
    <x:col min="38" max="38" width="4.199999809265137" hidden="0" customWidth="1"/>
    <x:col min="39" max="39" width="4.199999809265137" hidden="0" customWidth="1"/>
    <x:col min="40" max="40" width="4.199999809265137" hidden="0" customWidth="1"/>
    <x:col min="41" max="41" width="4.199999809265137" hidden="0" customWidth="1"/>
    <x:col min="42" max="42" width="4.199999809265137" hidden="0" customWidth="1"/>
    <x:col min="43" max="43" width="4.199999809265137" hidden="0" customWidth="1"/>
    <x:col min="44" max="44" width="4.199999809265137" hidden="0" customWidth="1"/>
    <x:col min="45" max="45" width="4.199999809265137" hidden="0" customWidth="1"/>
  </x:cols>
  <x:sheetData>
    <x:row r="1" ht="38" customHeight="1">
      <x:c r="A1" s="21" t="str">
        <x:v>华溯管家 · 项目实施可编辑甘特图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  <x:c r="AA1" s="21"/>
      <x:c r="AB1" s="21"/>
      <x:c r="AC1" s="21"/>
      <x:c r="AD1" s="21"/>
      <x:c r="AE1" s="21"/>
      <x:c r="AF1" s="21"/>
      <x:c r="AG1" s="21"/>
      <x:c r="AH1" s="21"/>
      <x:c r="AI1" s="21"/>
      <x:c r="AJ1" s="21"/>
      <x:c r="AK1" s="21"/>
      <x:c r="AL1" s="21"/>
      <x:c r="AM1" s="21"/>
      <x:c r="AN1" s="21"/>
      <x:c r="AO1" s="21"/>
      <x:c r="AP1" s="21"/>
      <x:c r="AQ1" s="21"/>
      <x:c r="AR1" s="21"/>
      <x:c r="AS1" s="21"/>
    </x:row>
    <x:row r="2">
      <x:c r="A2" s="24" t="str">
        <x:v>负责人：任羲宸 ｜ 基线：2026-08-03 ｜ 当前评估完成：2026-08-25 ｜ 关键卡点：组织数据隔离、审批权限、三套外部系统联调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  <x:c r="AA2" s="24"/>
      <x:c r="AB2" s="24"/>
      <x:c r="AC2" s="24"/>
      <x:c r="AD2" s="24"/>
      <x:c r="AE2" s="24"/>
      <x:c r="AF2" s="24"/>
      <x:c r="AG2" s="24"/>
      <x:c r="AH2" s="24"/>
      <x:c r="AI2" s="24"/>
      <x:c r="AJ2" s="24"/>
      <x:c r="AK2" s="24"/>
      <x:c r="AL2" s="24"/>
      <x:c r="AM2" s="24"/>
      <x:c r="AN2" s="24"/>
      <x:c r="AO2" s="24"/>
      <x:c r="AP2" s="24"/>
      <x:c r="AQ2" s="24"/>
      <x:c r="AR2" s="24"/>
      <x:c r="AS2" s="24"/>
    </x:row>
    <x:row r="3">
      <x:c r="A3" s="35" t="str">
        <x:v>计划任务</x:v>
      </x:c>
      <x:c r="B3" s="36"/>
      <x:c r="C3" s="41" t="n">
        <x:f>COUNTA(C8:C60)</x:f>
        <x:v>35</x:v>
      </x:c>
      <x:c r="D3" s="42"/>
      <x:c r="E3" s="36" t="str">
        <x:v>关键路径任务</x:v>
      </x:c>
      <x:c r="F3" s="36"/>
      <x:c r="G3" s="41" t="n">
        <x:f>COUNTIF(N8:N60,"是")</x:f>
        <x:v>28</x:v>
      </x:c>
      <x:c r="H3" s="42"/>
      <x:c r="I3" s="36" t="str">
        <x:v>整体进度</x:v>
      </x:c>
      <x:c r="J3" s="36"/>
      <x:c r="K3" s="45" t="n">
        <x:f>SUMPRODUCT(J8:J60,L8:L60)/SUM(J8:J60)</x:f>
        <x:v>0.1669491525423729</x:v>
      </x:c>
      <x:c r="L3" s="42"/>
      <x:c r="M3" s="36" t="str">
        <x:v>计划完成</x:v>
      </x:c>
      <x:c r="N3" s="36"/>
      <x:c r="O3" s="46" t="n">
        <x:f>MAX(I8:I60)</x:f>
        <x:v>46259</x:v>
      </x:c>
      <x:c r="P3" s="44"/>
      <x:c r="Q3" s="42"/>
    </x:row>
    <x:row r="4">
      <x:c r="A4" s="48" t="str">
        <x:v>黄色列可直接编辑；工期、状态和右侧甘特条自动计算。深蓝为已完成区间，浅蓝为剩余计划区间，灰色为周末。</x:v>
      </x:c>
      <x:c r="B4" s="48"/>
      <x:c r="C4" s="48"/>
      <x:c r="D4" s="48"/>
      <x:c r="E4" s="48"/>
      <x:c r="F4" s="48"/>
      <x:c r="G4" s="48"/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  <x:c r="AA4" s="48"/>
      <x:c r="AB4" s="48"/>
      <x:c r="AC4" s="48"/>
      <x:c r="AD4" s="48"/>
      <x:c r="AE4" s="48"/>
      <x:c r="AF4" s="48"/>
      <x:c r="AG4" s="48"/>
      <x:c r="AH4" s="48"/>
      <x:c r="AI4" s="48"/>
      <x:c r="AJ4" s="48"/>
      <x:c r="AK4" s="48"/>
      <x:c r="AL4" s="48"/>
      <x:c r="AM4" s="48"/>
      <x:c r="AN4" s="48"/>
      <x:c r="AO4" s="48"/>
      <x:c r="AP4" s="48"/>
      <x:c r="AQ4" s="48"/>
      <x:c r="AR4" s="48"/>
      <x:c r="AS4" s="48"/>
    </x:row>
    <x:row r="6" ht="24" customHeight="1">
      <x:c r="A6" s="52" t="str">
        <x:v>WBS</x:v>
      </x:c>
      <x:c r="B6" s="52" t="str">
        <x:v>阶段</x:v>
      </x:c>
      <x:c r="C6" s="52" t="str">
        <x:v>任务</x:v>
      </x:c>
      <x:c r="D6" s="52" t="str">
        <x:v>交付物/完成标准</x:v>
      </x:c>
      <x:c r="E6" s="52" t="str">
        <x:v>执行部门</x:v>
      </x:c>
      <x:c r="F6" s="52" t="str">
        <x:v>业务统筹</x:v>
      </x:c>
      <x:c r="G6" s="52" t="str">
        <x:v>技术执行人</x:v>
      </x:c>
      <x:c r="H6" s="52" t="str">
        <x:v>开始日期</x:v>
      </x:c>
      <x:c r="I6" s="52" t="str">
        <x:v>完成日期</x:v>
      </x:c>
      <x:c r="J6" s="52" t="str">
        <x:v>工期</x:v>
      </x:c>
      <x:c r="K6" s="52" t="str">
        <x:v>前置任务</x:v>
      </x:c>
      <x:c r="L6" s="52" t="str">
        <x:v>完成进度</x:v>
      </x:c>
      <x:c r="M6" s="52" t="str">
        <x:v>风险</x:v>
      </x:c>
      <x:c r="N6" s="52" t="str">
        <x:v>关键路径</x:v>
      </x:c>
      <x:c r="O6" s="61" t="n">
        <x:f>'参数与说明'!$B$4+0</x:f>
        <x:v>46237</x:v>
      </x:c>
      <x:c r="P6" s="61" t="n">
        <x:f>'参数与说明'!$B$4+1</x:f>
        <x:v>46238</x:v>
      </x:c>
      <x:c r="Q6" s="61" t="n">
        <x:f>'参数与说明'!$B$4+2</x:f>
        <x:v>46239</x:v>
      </x:c>
      <x:c r="R6" s="61" t="n">
        <x:f>'参数与说明'!$B$4+3</x:f>
        <x:v>46240</x:v>
      </x:c>
      <x:c r="S6" s="61" t="n">
        <x:f>'参数与说明'!$B$4+4</x:f>
        <x:v>46241</x:v>
      </x:c>
      <x:c r="T6" s="61" t="n">
        <x:f>'参数与说明'!$B$4+5</x:f>
        <x:v>46242</x:v>
      </x:c>
      <x:c r="U6" s="61" t="n">
        <x:f>'参数与说明'!$B$4+6</x:f>
        <x:v>46243</x:v>
      </x:c>
      <x:c r="V6" s="61" t="n">
        <x:f>'参数与说明'!$B$4+7</x:f>
        <x:v>46244</x:v>
      </x:c>
      <x:c r="W6" s="61" t="n">
        <x:f>'参数与说明'!$B$4+8</x:f>
        <x:v>46245</x:v>
      </x:c>
      <x:c r="X6" s="61" t="n">
        <x:f>'参数与说明'!$B$4+9</x:f>
        <x:v>46246</x:v>
      </x:c>
      <x:c r="Y6" s="61" t="n">
        <x:f>'参数与说明'!$B$4+10</x:f>
        <x:v>46247</x:v>
      </x:c>
      <x:c r="Z6" s="61" t="n">
        <x:f>'参数与说明'!$B$4+11</x:f>
        <x:v>46248</x:v>
      </x:c>
      <x:c r="AA6" s="61" t="n">
        <x:f>'参数与说明'!$B$4+12</x:f>
        <x:v>46249</x:v>
      </x:c>
      <x:c r="AB6" s="61" t="n">
        <x:f>'参数与说明'!$B$4+13</x:f>
        <x:v>46250</x:v>
      </x:c>
      <x:c r="AC6" s="61" t="n">
        <x:f>'参数与说明'!$B$4+14</x:f>
        <x:v>46251</x:v>
      </x:c>
      <x:c r="AD6" s="61" t="n">
        <x:f>'参数与说明'!$B$4+15</x:f>
        <x:v>46252</x:v>
      </x:c>
      <x:c r="AE6" s="61" t="n">
        <x:f>'参数与说明'!$B$4+16</x:f>
        <x:v>46253</x:v>
      </x:c>
      <x:c r="AF6" s="61" t="n">
        <x:f>'参数与说明'!$B$4+17</x:f>
        <x:v>46254</x:v>
      </x:c>
      <x:c r="AG6" s="61" t="n">
        <x:f>'参数与说明'!$B$4+18</x:f>
        <x:v>46255</x:v>
      </x:c>
      <x:c r="AH6" s="61" t="n">
        <x:f>'参数与说明'!$B$4+19</x:f>
        <x:v>46256</x:v>
      </x:c>
      <x:c r="AI6" s="61" t="n">
        <x:f>'参数与说明'!$B$4+20</x:f>
        <x:v>46257</x:v>
      </x:c>
      <x:c r="AJ6" s="61" t="n">
        <x:f>'参数与说明'!$B$4+21</x:f>
        <x:v>46258</x:v>
      </x:c>
      <x:c r="AK6" s="61" t="n">
        <x:f>'参数与说明'!$B$4+22</x:f>
        <x:v>46259</x:v>
      </x:c>
      <x:c r="AL6" s="61" t="n">
        <x:f>'参数与说明'!$B$4+23</x:f>
        <x:v>46260</x:v>
      </x:c>
      <x:c r="AM6" s="61" t="n">
        <x:f>'参数与说明'!$B$4+24</x:f>
        <x:v>46261</x:v>
      </x:c>
      <x:c r="AN6" s="61" t="n">
        <x:f>'参数与说明'!$B$4+25</x:f>
        <x:v>46262</x:v>
      </x:c>
      <x:c r="AO6" s="61" t="n">
        <x:f>'参数与说明'!$B$4+26</x:f>
        <x:v>46263</x:v>
      </x:c>
      <x:c r="AP6" s="61" t="n">
        <x:f>'参数与说明'!$B$4+27</x:f>
        <x:v>46264</x:v>
      </x:c>
      <x:c r="AQ6" s="61" t="n">
        <x:f>'参数与说明'!$B$4+28</x:f>
        <x:v>46265</x:v>
      </x:c>
      <x:c r="AR6" s="61" t="n">
        <x:f>'参数与说明'!$B$4+29</x:f>
        <x:v>46266</x:v>
      </x:c>
      <x:c r="AS6" s="61" t="n">
        <x:f>'参数与说明'!$B$4+30</x:f>
        <x:v>46267</x:v>
      </x:c>
    </x:row>
    <x:row r="7" ht="24" customHeight="1">
      <x:c r="A7" s="52"/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  <x:c r="O7" s="62" t="str">
        <x:f>CHOOSE(WEEKDAY(O6,2),"一","二","三","四","五","六","日")</x:f>
        <x:v>一</x:v>
      </x:c>
      <x:c r="P7" s="62" t="str">
        <x:f>CHOOSE(WEEKDAY(P6,2),"一","二","三","四","五","六","日")</x:f>
        <x:v>二</x:v>
      </x:c>
      <x:c r="Q7" s="62" t="str">
        <x:f>CHOOSE(WEEKDAY(Q6,2),"一","二","三","四","五","六","日")</x:f>
        <x:v>三</x:v>
      </x:c>
      <x:c r="R7" s="62" t="str">
        <x:f>CHOOSE(WEEKDAY(R6,2),"一","二","三","四","五","六","日")</x:f>
        <x:v>四</x:v>
      </x:c>
      <x:c r="S7" s="62" t="str">
        <x:f>CHOOSE(WEEKDAY(S6,2),"一","二","三","四","五","六","日")</x:f>
        <x:v>五</x:v>
      </x:c>
      <x:c r="T7" s="62" t="str">
        <x:f>CHOOSE(WEEKDAY(T6,2),"一","二","三","四","五","六","日")</x:f>
        <x:v>六</x:v>
      </x:c>
      <x:c r="U7" s="62" t="str">
        <x:f>CHOOSE(WEEKDAY(U6,2),"一","二","三","四","五","六","日")</x:f>
        <x:v>日</x:v>
      </x:c>
      <x:c r="V7" s="62" t="str">
        <x:f>CHOOSE(WEEKDAY(V6,2),"一","二","三","四","五","六","日")</x:f>
        <x:v>一</x:v>
      </x:c>
      <x:c r="W7" s="62" t="str">
        <x:f>CHOOSE(WEEKDAY(W6,2),"一","二","三","四","五","六","日")</x:f>
        <x:v>二</x:v>
      </x:c>
      <x:c r="X7" s="62" t="str">
        <x:f>CHOOSE(WEEKDAY(X6,2),"一","二","三","四","五","六","日")</x:f>
        <x:v>三</x:v>
      </x:c>
      <x:c r="Y7" s="62" t="str">
        <x:f>CHOOSE(WEEKDAY(Y6,2),"一","二","三","四","五","六","日")</x:f>
        <x:v>四</x:v>
      </x:c>
      <x:c r="Z7" s="62" t="str">
        <x:f>CHOOSE(WEEKDAY(Z6,2),"一","二","三","四","五","六","日")</x:f>
        <x:v>五</x:v>
      </x:c>
      <x:c r="AA7" s="62" t="str">
        <x:f>CHOOSE(WEEKDAY(AA6,2),"一","二","三","四","五","六","日")</x:f>
        <x:v>六</x:v>
      </x:c>
      <x:c r="AB7" s="62" t="str">
        <x:f>CHOOSE(WEEKDAY(AB6,2),"一","二","三","四","五","六","日")</x:f>
        <x:v>日</x:v>
      </x:c>
      <x:c r="AC7" s="62" t="str">
        <x:f>CHOOSE(WEEKDAY(AC6,2),"一","二","三","四","五","六","日")</x:f>
        <x:v>一</x:v>
      </x:c>
      <x:c r="AD7" s="62" t="str">
        <x:f>CHOOSE(WEEKDAY(AD6,2),"一","二","三","四","五","六","日")</x:f>
        <x:v>二</x:v>
      </x:c>
      <x:c r="AE7" s="62" t="str">
        <x:f>CHOOSE(WEEKDAY(AE6,2),"一","二","三","四","五","六","日")</x:f>
        <x:v>三</x:v>
      </x:c>
      <x:c r="AF7" s="62" t="str">
        <x:f>CHOOSE(WEEKDAY(AF6,2),"一","二","三","四","五","六","日")</x:f>
        <x:v>四</x:v>
      </x:c>
      <x:c r="AG7" s="62" t="str">
        <x:f>CHOOSE(WEEKDAY(AG6,2),"一","二","三","四","五","六","日")</x:f>
        <x:v>五</x:v>
      </x:c>
      <x:c r="AH7" s="62" t="str">
        <x:f>CHOOSE(WEEKDAY(AH6,2),"一","二","三","四","五","六","日")</x:f>
        <x:v>六</x:v>
      </x:c>
      <x:c r="AI7" s="62" t="str">
        <x:f>CHOOSE(WEEKDAY(AI6,2),"一","二","三","四","五","六","日")</x:f>
        <x:v>日</x:v>
      </x:c>
      <x:c r="AJ7" s="62" t="str">
        <x:f>CHOOSE(WEEKDAY(AJ6,2),"一","二","三","四","五","六","日")</x:f>
        <x:v>一</x:v>
      </x:c>
      <x:c r="AK7" s="62" t="str">
        <x:f>CHOOSE(WEEKDAY(AK6,2),"一","二","三","四","五","六","日")</x:f>
        <x:v>二</x:v>
      </x:c>
      <x:c r="AL7" s="62" t="str">
        <x:f>CHOOSE(WEEKDAY(AL6,2),"一","二","三","四","五","六","日")</x:f>
        <x:v>三</x:v>
      </x:c>
      <x:c r="AM7" s="62" t="str">
        <x:f>CHOOSE(WEEKDAY(AM6,2),"一","二","三","四","五","六","日")</x:f>
        <x:v>四</x:v>
      </x:c>
      <x:c r="AN7" s="62" t="str">
        <x:f>CHOOSE(WEEKDAY(AN6,2),"一","二","三","四","五","六","日")</x:f>
        <x:v>五</x:v>
      </x:c>
      <x:c r="AO7" s="62" t="str">
        <x:f>CHOOSE(WEEKDAY(AO6,2),"一","二","三","四","五","六","日")</x:f>
        <x:v>六</x:v>
      </x:c>
      <x:c r="AP7" s="62" t="str">
        <x:f>CHOOSE(WEEKDAY(AP6,2),"一","二","三","四","五","六","日")</x:f>
        <x:v>日</x:v>
      </x:c>
      <x:c r="AQ7" s="62" t="str">
        <x:f>CHOOSE(WEEKDAY(AQ6,2),"一","二","三","四","五","六","日")</x:f>
        <x:v>一</x:v>
      </x:c>
      <x:c r="AR7" s="62" t="str">
        <x:f>CHOOSE(WEEKDAY(AR6,2),"一","二","三","四","五","六","日")</x:f>
        <x:v>二</x:v>
      </x:c>
      <x:c r="AS7" s="62" t="str">
        <x:f>CHOOSE(WEEKDAY(AS6,2),"一","二","三","四","五","六","日")</x:f>
        <x:v>三</x:v>
      </x:c>
    </x:row>
    <x:row r="8" ht="34" customHeight="1">
      <x:c r="A8" s="73" t="str">
        <x:v>0.1</x:v>
      </x:c>
      <x:c r="B8" s="70" t="str">
        <x:v>项目管理</x:v>
      </x:c>
      <x:c r="C8" s="70" t="str">
        <x:v>项目启动与当前代码基线确认</x:v>
      </x:c>
      <x:c r="D8" s="70" t="str">
        <x:v>冻结已实现范围、目标库与交付边界</x:v>
      </x:c>
      <x:c r="E8" s="70" t="str">
        <x:v>项目组</x:v>
      </x:c>
      <x:c r="F8" s="70" t="str">
        <x:v>任羲宸</x:v>
      </x:c>
      <x:c r="G8" s="70" t="str">
        <x:v>任羲宸</x:v>
      </x:c>
      <x:c r="H8" s="85" t="n">
        <x:v>46237</x:v>
      </x:c>
      <x:c r="I8" s="85" t="n">
        <x:v>46237</x:v>
      </x:c>
      <x:c r="J8" s="79" t="n">
        <x:f>I8-H8+1</x:f>
        <x:v>1</x:v>
      </x:c>
      <x:c r="K8" s="70" t="str"/>
      <x:c r="L8" s="88" t="n">
        <x:v>1</x:v>
      </x:c>
      <x:c r="M8" s="73" t="str">
        <x:v>低</x:v>
      </x:c>
      <x:c r="N8" s="73" t="str">
        <x:v>是</x:v>
      </x:c>
      <x:c r="O8" s="94" t="n">
        <x:f>IF(AND(O6&gt;=$H8,O6&lt;=$I8),IF(O6&lt;=$H8+ROUND($J8*$L8,0)-1,2,1),"")</x:f>
        <x:v>2</x:v>
      </x:c>
      <x:c r="P8" s="94" t="str">
        <x:f>IF(AND(P6&gt;=$H8,P6&lt;=$I8),IF(P6&lt;=$H8+ROUND($J8*$L8,0)-1,2,1),"")</x:f>
      </x:c>
      <x:c r="Q8" s="94" t="str">
        <x:f>IF(AND(Q6&gt;=$H8,Q6&lt;=$I8),IF(Q6&lt;=$H8+ROUND($J8*$L8,0)-1,2,1),"")</x:f>
      </x:c>
      <x:c r="R8" s="94" t="str">
        <x:f>IF(AND(R6&gt;=$H8,R6&lt;=$I8),IF(R6&lt;=$H8+ROUND($J8*$L8,0)-1,2,1),"")</x:f>
      </x:c>
      <x:c r="S8" s="94" t="str">
        <x:f>IF(AND(S6&gt;=$H8,S6&lt;=$I8),IF(S6&lt;=$H8+ROUND($J8*$L8,0)-1,2,1),"")</x:f>
      </x:c>
      <x:c r="T8" s="94" t="str">
        <x:f>IF(AND(T6&gt;=$H8,T6&lt;=$I8),IF(T6&lt;=$H8+ROUND($J8*$L8,0)-1,2,1),"")</x:f>
      </x:c>
      <x:c r="U8" s="94" t="str">
        <x:f>IF(AND(U6&gt;=$H8,U6&lt;=$I8),IF(U6&lt;=$H8+ROUND($J8*$L8,0)-1,2,1),"")</x:f>
      </x:c>
      <x:c r="V8" s="94" t="str">
        <x:f>IF(AND(V6&gt;=$H8,V6&lt;=$I8),IF(V6&lt;=$H8+ROUND($J8*$L8,0)-1,2,1),"")</x:f>
      </x:c>
      <x:c r="W8" s="94" t="str">
        <x:f>IF(AND(W6&gt;=$H8,W6&lt;=$I8),IF(W6&lt;=$H8+ROUND($J8*$L8,0)-1,2,1),"")</x:f>
      </x:c>
      <x:c r="X8" s="94" t="str">
        <x:f>IF(AND(X6&gt;=$H8,X6&lt;=$I8),IF(X6&lt;=$H8+ROUND($J8*$L8,0)-1,2,1),"")</x:f>
      </x:c>
      <x:c r="Y8" s="94" t="str">
        <x:f>IF(AND(Y6&gt;=$H8,Y6&lt;=$I8),IF(Y6&lt;=$H8+ROUND($J8*$L8,0)-1,2,1),"")</x:f>
      </x:c>
      <x:c r="Z8" s="94" t="str">
        <x:f>IF(AND(Z6&gt;=$H8,Z6&lt;=$I8),IF(Z6&lt;=$H8+ROUND($J8*$L8,0)-1,2,1),"")</x:f>
      </x:c>
      <x:c r="AA8" s="94" t="str">
        <x:f>IF(AND(AA6&gt;=$H8,AA6&lt;=$I8),IF(AA6&lt;=$H8+ROUND($J8*$L8,0)-1,2,1),"")</x:f>
      </x:c>
      <x:c r="AB8" s="94" t="str">
        <x:f>IF(AND(AB6&gt;=$H8,AB6&lt;=$I8),IF(AB6&lt;=$H8+ROUND($J8*$L8,0)-1,2,1),"")</x:f>
      </x:c>
      <x:c r="AC8" s="94" t="str">
        <x:f>IF(AND(AC6&gt;=$H8,AC6&lt;=$I8),IF(AC6&lt;=$H8+ROUND($J8*$L8,0)-1,2,1),"")</x:f>
      </x:c>
      <x:c r="AD8" s="94" t="str">
        <x:f>IF(AND(AD6&gt;=$H8,AD6&lt;=$I8),IF(AD6&lt;=$H8+ROUND($J8*$L8,0)-1,2,1),"")</x:f>
      </x:c>
      <x:c r="AE8" s="94" t="str">
        <x:f>IF(AND(AE6&gt;=$H8,AE6&lt;=$I8),IF(AE6&lt;=$H8+ROUND($J8*$L8,0)-1,2,1),"")</x:f>
      </x:c>
      <x:c r="AF8" s="94" t="str">
        <x:f>IF(AND(AF6&gt;=$H8,AF6&lt;=$I8),IF(AF6&lt;=$H8+ROUND($J8*$L8,0)-1,2,1),"")</x:f>
      </x:c>
      <x:c r="AG8" s="94" t="str">
        <x:f>IF(AND(AG6&gt;=$H8,AG6&lt;=$I8),IF(AG6&lt;=$H8+ROUND($J8*$L8,0)-1,2,1),"")</x:f>
      </x:c>
      <x:c r="AH8" s="94" t="str">
        <x:f>IF(AND(AH6&gt;=$H8,AH6&lt;=$I8),IF(AH6&lt;=$H8+ROUND($J8*$L8,0)-1,2,1),"")</x:f>
      </x:c>
      <x:c r="AI8" s="94" t="str">
        <x:f>IF(AND(AI6&gt;=$H8,AI6&lt;=$I8),IF(AI6&lt;=$H8+ROUND($J8*$L8,0)-1,2,1),"")</x:f>
      </x:c>
      <x:c r="AJ8" s="94" t="str">
        <x:f>IF(AND(AJ6&gt;=$H8,AJ6&lt;=$I8),IF(AJ6&lt;=$H8+ROUND($J8*$L8,0)-1,2,1),"")</x:f>
      </x:c>
      <x:c r="AK8" s="94" t="str">
        <x:f>IF(AND(AK6&gt;=$H8,AK6&lt;=$I8),IF(AK6&lt;=$H8+ROUND($J8*$L8,0)-1,2,1),"")</x:f>
      </x:c>
      <x:c r="AL8" s="94" t="str">
        <x:f>IF(AND(AL6&gt;=$H8,AL6&lt;=$I8),IF(AL6&lt;=$H8+ROUND($J8*$L8,0)-1,2,1),"")</x:f>
      </x:c>
      <x:c r="AM8" s="94" t="str">
        <x:f>IF(AND(AM6&gt;=$H8,AM6&lt;=$I8),IF(AM6&lt;=$H8+ROUND($J8*$L8,0)-1,2,1),"")</x:f>
      </x:c>
      <x:c r="AN8" s="94" t="str">
        <x:f>IF(AND(AN6&gt;=$H8,AN6&lt;=$I8),IF(AN6&lt;=$H8+ROUND($J8*$L8,0)-1,2,1),"")</x:f>
      </x:c>
      <x:c r="AO8" s="94" t="str">
        <x:f>IF(AND(AO6&gt;=$H8,AO6&lt;=$I8),IF(AO6&lt;=$H8+ROUND($J8*$L8,0)-1,2,1),"")</x:f>
      </x:c>
      <x:c r="AP8" s="94" t="str">
        <x:f>IF(AND(AP6&gt;=$H8,AP6&lt;=$I8),IF(AP6&lt;=$H8+ROUND($J8*$L8,0)-1,2,1),"")</x:f>
      </x:c>
      <x:c r="AQ8" s="94" t="str">
        <x:f>IF(AND(AQ6&gt;=$H8,AQ6&lt;=$I8),IF(AQ6&lt;=$H8+ROUND($J8*$L8,0)-1,2,1),"")</x:f>
      </x:c>
      <x:c r="AR8" s="94" t="str">
        <x:f>IF(AND(AR6&gt;=$H8,AR6&lt;=$I8),IF(AR6&lt;=$H8+ROUND($J8*$L8,0)-1,2,1),"")</x:f>
      </x:c>
      <x:c r="AS8" s="94" t="str">
        <x:f>IF(AND(AS6&gt;=$H8,AS6&lt;=$I8),IF(AS6&lt;=$H8+ROUND($J8*$L8,0)-1,2,1),"")</x:f>
      </x:c>
    </x:row>
    <x:row r="9" ht="34" customHeight="1">
      <x:c r="A9" s="74" t="str">
        <x:v>1.1</x:v>
      </x:c>
      <x:c r="B9" s="71" t="str">
        <x:v>数据初始化</x:v>
      </x:c>
      <x:c r="C9" s="71" t="str">
        <x:v>基础数据模板与口径冻结</x:v>
      </x:c>
      <x:c r="D9" s="71" t="str">
        <x:v>商品、供应商、客户、期初库存模板</x:v>
      </x:c>
      <x:c r="E9" s="71" t="str">
        <x:v>各业务部门</x:v>
      </x:c>
      <x:c r="F9" s="71" t="str">
        <x:v>陈素梅</x:v>
      </x:c>
      <x:c r="G9" s="71" t="str">
        <x:v>胡丹</x:v>
      </x:c>
      <x:c r="H9" s="86" t="n">
        <x:v>46237</x:v>
      </x:c>
      <x:c r="I9" s="86" t="n">
        <x:v>46238</x:v>
      </x:c>
      <x:c r="J9" s="80" t="n">
        <x:f>I9-H9+1</x:f>
        <x:v>2</x:v>
      </x:c>
      <x:c r="K9" s="71" t="str">
        <x:v>0.1</x:v>
      </x:c>
      <x:c r="L9" s="89" t="n">
        <x:v>0.8</x:v>
      </x:c>
      <x:c r="M9" s="74" t="str">
        <x:v>中</x:v>
      </x:c>
      <x:c r="N9" s="74" t="str">
        <x:v>是</x:v>
      </x:c>
      <x:c r="O9" s="94" t="n">
        <x:f>IF(AND(O6&gt;=$H9,O6&lt;=$I9),IF(O6&lt;=$H9+ROUND($J9*$L9,0)-1,2,1),"")</x:f>
        <x:v>2</x:v>
      </x:c>
      <x:c r="P9" s="94" t="n">
        <x:f>IF(AND(P6&gt;=$H9,P6&lt;=$I9),IF(P6&lt;=$H9+ROUND($J9*$L9,0)-1,2,1),"")</x:f>
        <x:v>2</x:v>
      </x:c>
      <x:c r="Q9" s="94" t="str">
        <x:f>IF(AND(Q6&gt;=$H9,Q6&lt;=$I9),IF(Q6&lt;=$H9+ROUND($J9*$L9,0)-1,2,1),"")</x:f>
      </x:c>
      <x:c r="R9" s="94" t="str">
        <x:f>IF(AND(R6&gt;=$H9,R6&lt;=$I9),IF(R6&lt;=$H9+ROUND($J9*$L9,0)-1,2,1),"")</x:f>
      </x:c>
      <x:c r="S9" s="94" t="str">
        <x:f>IF(AND(S6&gt;=$H9,S6&lt;=$I9),IF(S6&lt;=$H9+ROUND($J9*$L9,0)-1,2,1),"")</x:f>
      </x:c>
      <x:c r="T9" s="94" t="str">
        <x:f>IF(AND(T6&gt;=$H9,T6&lt;=$I9),IF(T6&lt;=$H9+ROUND($J9*$L9,0)-1,2,1),"")</x:f>
      </x:c>
      <x:c r="U9" s="94" t="str">
        <x:f>IF(AND(U6&gt;=$H9,U6&lt;=$I9),IF(U6&lt;=$H9+ROUND($J9*$L9,0)-1,2,1),"")</x:f>
      </x:c>
      <x:c r="V9" s="94" t="str">
        <x:f>IF(AND(V6&gt;=$H9,V6&lt;=$I9),IF(V6&lt;=$H9+ROUND($J9*$L9,0)-1,2,1),"")</x:f>
      </x:c>
      <x:c r="W9" s="94" t="str">
        <x:f>IF(AND(W6&gt;=$H9,W6&lt;=$I9),IF(W6&lt;=$H9+ROUND($J9*$L9,0)-1,2,1),"")</x:f>
      </x:c>
      <x:c r="X9" s="94" t="str">
        <x:f>IF(AND(X6&gt;=$H9,X6&lt;=$I9),IF(X6&lt;=$H9+ROUND($J9*$L9,0)-1,2,1),"")</x:f>
      </x:c>
      <x:c r="Y9" s="94" t="str">
        <x:f>IF(AND(Y6&gt;=$H9,Y6&lt;=$I9),IF(Y6&lt;=$H9+ROUND($J9*$L9,0)-1,2,1),"")</x:f>
      </x:c>
      <x:c r="Z9" s="94" t="str">
        <x:f>IF(AND(Z6&gt;=$H9,Z6&lt;=$I9),IF(Z6&lt;=$H9+ROUND($J9*$L9,0)-1,2,1),"")</x:f>
      </x:c>
      <x:c r="AA9" s="94" t="str">
        <x:f>IF(AND(AA6&gt;=$H9,AA6&lt;=$I9),IF(AA6&lt;=$H9+ROUND($J9*$L9,0)-1,2,1),"")</x:f>
      </x:c>
      <x:c r="AB9" s="94" t="str">
        <x:f>IF(AND(AB6&gt;=$H9,AB6&lt;=$I9),IF(AB6&lt;=$H9+ROUND($J9*$L9,0)-1,2,1),"")</x:f>
      </x:c>
      <x:c r="AC9" s="94" t="str">
        <x:f>IF(AND(AC6&gt;=$H9,AC6&lt;=$I9),IF(AC6&lt;=$H9+ROUND($J9*$L9,0)-1,2,1),"")</x:f>
      </x:c>
      <x:c r="AD9" s="94" t="str">
        <x:f>IF(AND(AD6&gt;=$H9,AD6&lt;=$I9),IF(AD6&lt;=$H9+ROUND($J9*$L9,0)-1,2,1),"")</x:f>
      </x:c>
      <x:c r="AE9" s="94" t="str">
        <x:f>IF(AND(AE6&gt;=$H9,AE6&lt;=$I9),IF(AE6&lt;=$H9+ROUND($J9*$L9,0)-1,2,1),"")</x:f>
      </x:c>
      <x:c r="AF9" s="94" t="str">
        <x:f>IF(AND(AF6&gt;=$H9,AF6&lt;=$I9),IF(AF6&lt;=$H9+ROUND($J9*$L9,0)-1,2,1),"")</x:f>
      </x:c>
      <x:c r="AG9" s="94" t="str">
        <x:f>IF(AND(AG6&gt;=$H9,AG6&lt;=$I9),IF(AG6&lt;=$H9+ROUND($J9*$L9,0)-1,2,1),"")</x:f>
      </x:c>
      <x:c r="AH9" s="94" t="str">
        <x:f>IF(AND(AH6&gt;=$H9,AH6&lt;=$I9),IF(AH6&lt;=$H9+ROUND($J9*$L9,0)-1,2,1),"")</x:f>
      </x:c>
      <x:c r="AI9" s="94" t="str">
        <x:f>IF(AND(AI6&gt;=$H9,AI6&lt;=$I9),IF(AI6&lt;=$H9+ROUND($J9*$L9,0)-1,2,1),"")</x:f>
      </x:c>
      <x:c r="AJ9" s="94" t="str">
        <x:f>IF(AND(AJ6&gt;=$H9,AJ6&lt;=$I9),IF(AJ6&lt;=$H9+ROUND($J9*$L9,0)-1,2,1),"")</x:f>
      </x:c>
      <x:c r="AK9" s="94" t="str">
        <x:f>IF(AND(AK6&gt;=$H9,AK6&lt;=$I9),IF(AK6&lt;=$H9+ROUND($J9*$L9,0)-1,2,1),"")</x:f>
      </x:c>
      <x:c r="AL9" s="94" t="str">
        <x:f>IF(AND(AL6&gt;=$H9,AL6&lt;=$I9),IF(AL6&lt;=$H9+ROUND($J9*$L9,0)-1,2,1),"")</x:f>
      </x:c>
      <x:c r="AM9" s="94" t="str">
        <x:f>IF(AND(AM6&gt;=$H9,AM6&lt;=$I9),IF(AM6&lt;=$H9+ROUND($J9*$L9,0)-1,2,1),"")</x:f>
      </x:c>
      <x:c r="AN9" s="94" t="str">
        <x:f>IF(AND(AN6&gt;=$H9,AN6&lt;=$I9),IF(AN6&lt;=$H9+ROUND($J9*$L9,0)-1,2,1),"")</x:f>
      </x:c>
      <x:c r="AO9" s="94" t="str">
        <x:f>IF(AND(AO6&gt;=$H9,AO6&lt;=$I9),IF(AO6&lt;=$H9+ROUND($J9*$L9,0)-1,2,1),"")</x:f>
      </x:c>
      <x:c r="AP9" s="94" t="str">
        <x:f>IF(AND(AP6&gt;=$H9,AP6&lt;=$I9),IF(AP6&lt;=$H9+ROUND($J9*$L9,0)-1,2,1),"")</x:f>
      </x:c>
      <x:c r="AQ9" s="94" t="str">
        <x:f>IF(AND(AQ6&gt;=$H9,AQ6&lt;=$I9),IF(AQ6&lt;=$H9+ROUND($J9*$L9,0)-1,2,1),"")</x:f>
      </x:c>
      <x:c r="AR9" s="94" t="str">
        <x:f>IF(AND(AR6&gt;=$H9,AR6&lt;=$I9),IF(AR6&lt;=$H9+ROUND($J9*$L9,0)-1,2,1),"")</x:f>
      </x:c>
      <x:c r="AS9" s="94" t="str">
        <x:f>IF(AND(AS6&gt;=$H9,AS6&lt;=$I9),IF(AS6&lt;=$H9+ROUND($J9*$L9,0)-1,2,1),"")</x:f>
      </x:c>
    </x:row>
    <x:row r="10" ht="34" customHeight="1">
      <x:c r="A10" s="74" t="str">
        <x:v>1.2</x:v>
      </x:c>
      <x:c r="B10" s="71" t="str">
        <x:v>数据初始化</x:v>
      </x:c>
      <x:c r="C10" s="71" t="str">
        <x:v>业务基础数据清洗</x:v>
      </x:c>
      <x:c r="D10" s="71" t="str">
        <x:v>完成重复、缺失、编码冲突处理</x:v>
      </x:c>
      <x:c r="E10" s="71" t="str">
        <x:v>采购/行政/健服/财务/客服</x:v>
      </x:c>
      <x:c r="F10" s="71" t="str">
        <x:v>陈素梅</x:v>
      </x:c>
      <x:c r="G10" s="71" t="str">
        <x:v>胡丹</x:v>
      </x:c>
      <x:c r="H10" s="86" t="n">
        <x:v>46238</x:v>
      </x:c>
      <x:c r="I10" s="86" t="n">
        <x:v>46240</x:v>
      </x:c>
      <x:c r="J10" s="80" t="n">
        <x:f>I10-H10+1</x:f>
        <x:v>3</x:v>
      </x:c>
      <x:c r="K10" s="71" t="str">
        <x:v>1.1</x:v>
      </x:c>
      <x:c r="L10" s="89" t="n">
        <x:v>0.45</x:v>
      </x:c>
      <x:c r="M10" s="74" t="str">
        <x:v>高</x:v>
      </x:c>
      <x:c r="N10" s="74" t="str">
        <x:v>是</x:v>
      </x:c>
      <x:c r="O10" s="94" t="str">
        <x:f>IF(AND(O6&gt;=$H10,O6&lt;=$I10),IF(O6&lt;=$H10+ROUND($J10*$L10,0)-1,2,1),"")</x:f>
      </x:c>
      <x:c r="P10" s="94" t="n">
        <x:f>IF(AND(P6&gt;=$H10,P6&lt;=$I10),IF(P6&lt;=$H10+ROUND($J10*$L10,0)-1,2,1),"")</x:f>
        <x:v>2</x:v>
      </x:c>
      <x:c r="Q10" s="94" t="n">
        <x:f>IF(AND(Q6&gt;=$H10,Q6&lt;=$I10),IF(Q6&lt;=$H10+ROUND($J10*$L10,0)-1,2,1),"")</x:f>
        <x:v>1</x:v>
      </x:c>
      <x:c r="R10" s="94" t="n">
        <x:f>IF(AND(R6&gt;=$H10,R6&lt;=$I10),IF(R6&lt;=$H10+ROUND($J10*$L10,0)-1,2,1),"")</x:f>
        <x:v>1</x:v>
      </x:c>
      <x:c r="S10" s="94" t="str">
        <x:f>IF(AND(S6&gt;=$H10,S6&lt;=$I10),IF(S6&lt;=$H10+ROUND($J10*$L10,0)-1,2,1),"")</x:f>
      </x:c>
      <x:c r="T10" s="94" t="str">
        <x:f>IF(AND(T6&gt;=$H10,T6&lt;=$I10),IF(T6&lt;=$H10+ROUND($J10*$L10,0)-1,2,1),"")</x:f>
      </x:c>
      <x:c r="U10" s="94" t="str">
        <x:f>IF(AND(U6&gt;=$H10,U6&lt;=$I10),IF(U6&lt;=$H10+ROUND($J10*$L10,0)-1,2,1),"")</x:f>
      </x:c>
      <x:c r="V10" s="94" t="str">
        <x:f>IF(AND(V6&gt;=$H10,V6&lt;=$I10),IF(V6&lt;=$H10+ROUND($J10*$L10,0)-1,2,1),"")</x:f>
      </x:c>
      <x:c r="W10" s="94" t="str">
        <x:f>IF(AND(W6&gt;=$H10,W6&lt;=$I10),IF(W6&lt;=$H10+ROUND($J10*$L10,0)-1,2,1),"")</x:f>
      </x:c>
      <x:c r="X10" s="94" t="str">
        <x:f>IF(AND(X6&gt;=$H10,X6&lt;=$I10),IF(X6&lt;=$H10+ROUND($J10*$L10,0)-1,2,1),"")</x:f>
      </x:c>
      <x:c r="Y10" s="94" t="str">
        <x:f>IF(AND(Y6&gt;=$H10,Y6&lt;=$I10),IF(Y6&lt;=$H10+ROUND($J10*$L10,0)-1,2,1),"")</x:f>
      </x:c>
      <x:c r="Z10" s="94" t="str">
        <x:f>IF(AND(Z6&gt;=$H10,Z6&lt;=$I10),IF(Z6&lt;=$H10+ROUND($J10*$L10,0)-1,2,1),"")</x:f>
      </x:c>
      <x:c r="AA10" s="94" t="str">
        <x:f>IF(AND(AA6&gt;=$H10,AA6&lt;=$I10),IF(AA6&lt;=$H10+ROUND($J10*$L10,0)-1,2,1),"")</x:f>
      </x:c>
      <x:c r="AB10" s="94" t="str">
        <x:f>IF(AND(AB6&gt;=$H10,AB6&lt;=$I10),IF(AB6&lt;=$H10+ROUND($J10*$L10,0)-1,2,1),"")</x:f>
      </x:c>
      <x:c r="AC10" s="94" t="str">
        <x:f>IF(AND(AC6&gt;=$H10,AC6&lt;=$I10),IF(AC6&lt;=$H10+ROUND($J10*$L10,0)-1,2,1),"")</x:f>
      </x:c>
      <x:c r="AD10" s="94" t="str">
        <x:f>IF(AND(AD6&gt;=$H10,AD6&lt;=$I10),IF(AD6&lt;=$H10+ROUND($J10*$L10,0)-1,2,1),"")</x:f>
      </x:c>
      <x:c r="AE10" s="94" t="str">
        <x:f>IF(AND(AE6&gt;=$H10,AE6&lt;=$I10),IF(AE6&lt;=$H10+ROUND($J10*$L10,0)-1,2,1),"")</x:f>
      </x:c>
      <x:c r="AF10" s="94" t="str">
        <x:f>IF(AND(AF6&gt;=$H10,AF6&lt;=$I10),IF(AF6&lt;=$H10+ROUND($J10*$L10,0)-1,2,1),"")</x:f>
      </x:c>
      <x:c r="AG10" s="94" t="str">
        <x:f>IF(AND(AG6&gt;=$H10,AG6&lt;=$I10),IF(AG6&lt;=$H10+ROUND($J10*$L10,0)-1,2,1),"")</x:f>
      </x:c>
      <x:c r="AH10" s="94" t="str">
        <x:f>IF(AND(AH6&gt;=$H10,AH6&lt;=$I10),IF(AH6&lt;=$H10+ROUND($J10*$L10,0)-1,2,1),"")</x:f>
      </x:c>
      <x:c r="AI10" s="94" t="str">
        <x:f>IF(AND(AI6&gt;=$H10,AI6&lt;=$I10),IF(AI6&lt;=$H10+ROUND($J10*$L10,0)-1,2,1),"")</x:f>
      </x:c>
      <x:c r="AJ10" s="94" t="str">
        <x:f>IF(AND(AJ6&gt;=$H10,AJ6&lt;=$I10),IF(AJ6&lt;=$H10+ROUND($J10*$L10,0)-1,2,1),"")</x:f>
      </x:c>
      <x:c r="AK10" s="94" t="str">
        <x:f>IF(AND(AK6&gt;=$H10,AK6&lt;=$I10),IF(AK6&lt;=$H10+ROUND($J10*$L10,0)-1,2,1),"")</x:f>
      </x:c>
      <x:c r="AL10" s="94" t="str">
        <x:f>IF(AND(AL6&gt;=$H10,AL6&lt;=$I10),IF(AL6&lt;=$H10+ROUND($J10*$L10,0)-1,2,1),"")</x:f>
      </x:c>
      <x:c r="AM10" s="94" t="str">
        <x:f>IF(AND(AM6&gt;=$H10,AM6&lt;=$I10),IF(AM6&lt;=$H10+ROUND($J10*$L10,0)-1,2,1),"")</x:f>
      </x:c>
      <x:c r="AN10" s="94" t="str">
        <x:f>IF(AND(AN6&gt;=$H10,AN6&lt;=$I10),IF(AN6&lt;=$H10+ROUND($J10*$L10,0)-1,2,1),"")</x:f>
      </x:c>
      <x:c r="AO10" s="94" t="str">
        <x:f>IF(AND(AO6&gt;=$H10,AO6&lt;=$I10),IF(AO6&lt;=$H10+ROUND($J10*$L10,0)-1,2,1),"")</x:f>
      </x:c>
      <x:c r="AP10" s="94" t="str">
        <x:f>IF(AND(AP6&gt;=$H10,AP6&lt;=$I10),IF(AP6&lt;=$H10+ROUND($J10*$L10,0)-1,2,1),"")</x:f>
      </x:c>
      <x:c r="AQ10" s="94" t="str">
        <x:f>IF(AND(AQ6&gt;=$H10,AQ6&lt;=$I10),IF(AQ6&lt;=$H10+ROUND($J10*$L10,0)-1,2,1),"")</x:f>
      </x:c>
      <x:c r="AR10" s="94" t="str">
        <x:f>IF(AND(AR6&gt;=$H10,AR6&lt;=$I10),IF(AR6&lt;=$H10+ROUND($J10*$L10,0)-1,2,1),"")</x:f>
      </x:c>
      <x:c r="AS10" s="94" t="str">
        <x:f>IF(AND(AS6&gt;=$H10,AS6&lt;=$I10),IF(AS6&lt;=$H10+ROUND($J10*$L10,0)-1,2,1),"")</x:f>
      </x:c>
    </x:row>
    <x:row r="11" ht="34" customHeight="1">
      <x:c r="A11" s="74" t="str">
        <x:v>1.3</x:v>
      </x:c>
      <x:c r="B11" s="71" t="str">
        <x:v>数据初始化</x:v>
      </x:c>
      <x:c r="C11" s="71" t="str">
        <x:v>数据导入与总量核对</x:v>
      </x:c>
      <x:c r="D11" s="71" t="str">
        <x:v>数据进入指定库并形成核对记录</x:v>
      </x:c>
      <x:c r="E11" s="71" t="str">
        <x:v>技术部+业务部门</x:v>
      </x:c>
      <x:c r="F11" s="71" t="str">
        <x:v>陈素梅</x:v>
      </x:c>
      <x:c r="G11" s="71" t="str">
        <x:v>胡丹</x:v>
      </x:c>
      <x:c r="H11" s="86" t="n">
        <x:v>46240</x:v>
      </x:c>
      <x:c r="I11" s="86" t="n">
        <x:v>46241</x:v>
      </x:c>
      <x:c r="J11" s="80" t="n">
        <x:f>I11-H11+1</x:f>
        <x:v>2</x:v>
      </x:c>
      <x:c r="K11" s="71" t="str">
        <x:v>1.2</x:v>
      </x:c>
      <x:c r="L11" s="89" t="n">
        <x:v>0.1</x:v>
      </x:c>
      <x:c r="M11" s="74" t="str">
        <x:v>高</x:v>
      </x:c>
      <x:c r="N11" s="74" t="str">
        <x:v>是</x:v>
      </x:c>
      <x:c r="O11" s="94" t="str">
        <x:f>IF(AND(O6&gt;=$H11,O6&lt;=$I11),IF(O6&lt;=$H11+ROUND($J11*$L11,0)-1,2,1),"")</x:f>
      </x:c>
      <x:c r="P11" s="94" t="str">
        <x:f>IF(AND(P6&gt;=$H11,P6&lt;=$I11),IF(P6&lt;=$H11+ROUND($J11*$L11,0)-1,2,1),"")</x:f>
      </x:c>
      <x:c r="Q11" s="94" t="str">
        <x:f>IF(AND(Q6&gt;=$H11,Q6&lt;=$I11),IF(Q6&lt;=$H11+ROUND($J11*$L11,0)-1,2,1),"")</x:f>
      </x:c>
      <x:c r="R11" s="94" t="n">
        <x:f>IF(AND(R6&gt;=$H11,R6&lt;=$I11),IF(R6&lt;=$H11+ROUND($J11*$L11,0)-1,2,1),"")</x:f>
        <x:v>1</x:v>
      </x:c>
      <x:c r="S11" s="94" t="n">
        <x:f>IF(AND(S6&gt;=$H11,S6&lt;=$I11),IF(S6&lt;=$H11+ROUND($J11*$L11,0)-1,2,1),"")</x:f>
        <x:v>1</x:v>
      </x:c>
      <x:c r="T11" s="94" t="str">
        <x:f>IF(AND(T6&gt;=$H11,T6&lt;=$I11),IF(T6&lt;=$H11+ROUND($J11*$L11,0)-1,2,1),"")</x:f>
      </x:c>
      <x:c r="U11" s="94" t="str">
        <x:f>IF(AND(U6&gt;=$H11,U6&lt;=$I11),IF(U6&lt;=$H11+ROUND($J11*$L11,0)-1,2,1),"")</x:f>
      </x:c>
      <x:c r="V11" s="94" t="str">
        <x:f>IF(AND(V6&gt;=$H11,V6&lt;=$I11),IF(V6&lt;=$H11+ROUND($J11*$L11,0)-1,2,1),"")</x:f>
      </x:c>
      <x:c r="W11" s="94" t="str">
        <x:f>IF(AND(W6&gt;=$H11,W6&lt;=$I11),IF(W6&lt;=$H11+ROUND($J11*$L11,0)-1,2,1),"")</x:f>
      </x:c>
      <x:c r="X11" s="94" t="str">
        <x:f>IF(AND(X6&gt;=$H11,X6&lt;=$I11),IF(X6&lt;=$H11+ROUND($J11*$L11,0)-1,2,1),"")</x:f>
      </x:c>
      <x:c r="Y11" s="94" t="str">
        <x:f>IF(AND(Y6&gt;=$H11,Y6&lt;=$I11),IF(Y6&lt;=$H11+ROUND($J11*$L11,0)-1,2,1),"")</x:f>
      </x:c>
      <x:c r="Z11" s="94" t="str">
        <x:f>IF(AND(Z6&gt;=$H11,Z6&lt;=$I11),IF(Z6&lt;=$H11+ROUND($J11*$L11,0)-1,2,1),"")</x:f>
      </x:c>
      <x:c r="AA11" s="94" t="str">
        <x:f>IF(AND(AA6&gt;=$H11,AA6&lt;=$I11),IF(AA6&lt;=$H11+ROUND($J11*$L11,0)-1,2,1),"")</x:f>
      </x:c>
      <x:c r="AB11" s="94" t="str">
        <x:f>IF(AND(AB6&gt;=$H11,AB6&lt;=$I11),IF(AB6&lt;=$H11+ROUND($J11*$L11,0)-1,2,1),"")</x:f>
      </x:c>
      <x:c r="AC11" s="94" t="str">
        <x:f>IF(AND(AC6&gt;=$H11,AC6&lt;=$I11),IF(AC6&lt;=$H11+ROUND($J11*$L11,0)-1,2,1),"")</x:f>
      </x:c>
      <x:c r="AD11" s="94" t="str">
        <x:f>IF(AND(AD6&gt;=$H11,AD6&lt;=$I11),IF(AD6&lt;=$H11+ROUND($J11*$L11,0)-1,2,1),"")</x:f>
      </x:c>
      <x:c r="AE11" s="94" t="str">
        <x:f>IF(AND(AE6&gt;=$H11,AE6&lt;=$I11),IF(AE6&lt;=$H11+ROUND($J11*$L11,0)-1,2,1),"")</x:f>
      </x:c>
      <x:c r="AF11" s="94" t="str">
        <x:f>IF(AND(AF6&gt;=$H11,AF6&lt;=$I11),IF(AF6&lt;=$H11+ROUND($J11*$L11,0)-1,2,1),"")</x:f>
      </x:c>
      <x:c r="AG11" s="94" t="str">
        <x:f>IF(AND(AG6&gt;=$H11,AG6&lt;=$I11),IF(AG6&lt;=$H11+ROUND($J11*$L11,0)-1,2,1),"")</x:f>
      </x:c>
      <x:c r="AH11" s="94" t="str">
        <x:f>IF(AND(AH6&gt;=$H11,AH6&lt;=$I11),IF(AH6&lt;=$H11+ROUND($J11*$L11,0)-1,2,1),"")</x:f>
      </x:c>
      <x:c r="AI11" s="94" t="str">
        <x:f>IF(AND(AI6&gt;=$H11,AI6&lt;=$I11),IF(AI6&lt;=$H11+ROUND($J11*$L11,0)-1,2,1),"")</x:f>
      </x:c>
      <x:c r="AJ11" s="94" t="str">
        <x:f>IF(AND(AJ6&gt;=$H11,AJ6&lt;=$I11),IF(AJ6&lt;=$H11+ROUND($J11*$L11,0)-1,2,1),"")</x:f>
      </x:c>
      <x:c r="AK11" s="94" t="str">
        <x:f>IF(AND(AK6&gt;=$H11,AK6&lt;=$I11),IF(AK6&lt;=$H11+ROUND($J11*$L11,0)-1,2,1),"")</x:f>
      </x:c>
      <x:c r="AL11" s="94" t="str">
        <x:f>IF(AND(AL6&gt;=$H11,AL6&lt;=$I11),IF(AL6&lt;=$H11+ROUND($J11*$L11,0)-1,2,1),"")</x:f>
      </x:c>
      <x:c r="AM11" s="94" t="str">
        <x:f>IF(AND(AM6&gt;=$H11,AM6&lt;=$I11),IF(AM6&lt;=$H11+ROUND($J11*$L11,0)-1,2,1),"")</x:f>
      </x:c>
      <x:c r="AN11" s="94" t="str">
        <x:f>IF(AND(AN6&gt;=$H11,AN6&lt;=$I11),IF(AN6&lt;=$H11+ROUND($J11*$L11,0)-1,2,1),"")</x:f>
      </x:c>
      <x:c r="AO11" s="94" t="str">
        <x:f>IF(AND(AO6&gt;=$H11,AO6&lt;=$I11),IF(AO6&lt;=$H11+ROUND($J11*$L11,0)-1,2,1),"")</x:f>
      </x:c>
      <x:c r="AP11" s="94" t="str">
        <x:f>IF(AND(AP6&gt;=$H11,AP6&lt;=$I11),IF(AP6&lt;=$H11+ROUND($J11*$L11,0)-1,2,1),"")</x:f>
      </x:c>
      <x:c r="AQ11" s="94" t="str">
        <x:f>IF(AND(AQ6&gt;=$H11,AQ6&lt;=$I11),IF(AQ6&lt;=$H11+ROUND($J11*$L11,0)-1,2,1),"")</x:f>
      </x:c>
      <x:c r="AR11" s="94" t="str">
        <x:f>IF(AND(AR6&gt;=$H11,AR6&lt;=$I11),IF(AR6&lt;=$H11+ROUND($J11*$L11,0)-1,2,1),"")</x:f>
      </x:c>
      <x:c r="AS11" s="94" t="str">
        <x:f>IF(AND(AS6&gt;=$H11,AS6&lt;=$I11),IF(AS6&lt;=$H11+ROUND($J11*$L11,0)-1,2,1),"")</x:f>
      </x:c>
    </x:row>
    <x:row r="12" ht="34" customHeight="1">
      <x:c r="A12" s="74" t="str">
        <x:v>2.1</x:v>
      </x:c>
      <x:c r="B12" s="71" t="str">
        <x:v>权限与审批</x:v>
      </x:c>
      <x:c r="C12" s="71" t="str">
        <x:v>组织、角色、审批责任矩阵冻结</x:v>
      </x:c>
      <x:c r="D12" s="71" t="str">
        <x:v>组织×角色×菜单×审批节点矩阵</x:v>
      </x:c>
      <x:c r="E12" s="71" t="str">
        <x:v>技术部+各部门负责人</x:v>
      </x:c>
      <x:c r="F12" s="71" t="str">
        <x:v>徐贵艳</x:v>
      </x:c>
      <x:c r="G12" s="71" t="str">
        <x:v>胡丹</x:v>
      </x:c>
      <x:c r="H12" s="86" t="n">
        <x:v>46237</x:v>
      </x:c>
      <x:c r="I12" s="86" t="n">
        <x:v>46239</x:v>
      </x:c>
      <x:c r="J12" s="80" t="n">
        <x:f>I12-H12+1</x:f>
        <x:v>3</x:v>
      </x:c>
      <x:c r="K12" s="71" t="str">
        <x:v>0.1</x:v>
      </x:c>
      <x:c r="L12" s="89" t="n">
        <x:v>0.35</x:v>
      </x:c>
      <x:c r="M12" s="74" t="str">
        <x:v>高</x:v>
      </x:c>
      <x:c r="N12" s="74" t="str">
        <x:v>是</x:v>
      </x:c>
      <x:c r="O12" s="94" t="n">
        <x:f>IF(AND(O6&gt;=$H12,O6&lt;=$I12),IF(O6&lt;=$H12+ROUND($J12*$L12,0)-1,2,1),"")</x:f>
        <x:v>2</x:v>
      </x:c>
      <x:c r="P12" s="94" t="n">
        <x:f>IF(AND(P6&gt;=$H12,P6&lt;=$I12),IF(P6&lt;=$H12+ROUND($J12*$L12,0)-1,2,1),"")</x:f>
        <x:v>1</x:v>
      </x:c>
      <x:c r="Q12" s="94" t="n">
        <x:f>IF(AND(Q6&gt;=$H12,Q6&lt;=$I12),IF(Q6&lt;=$H12+ROUND($J12*$L12,0)-1,2,1),"")</x:f>
        <x:v>1</x:v>
      </x:c>
      <x:c r="R12" s="94" t="str">
        <x:f>IF(AND(R6&gt;=$H12,R6&lt;=$I12),IF(R6&lt;=$H12+ROUND($J12*$L12,0)-1,2,1),"")</x:f>
      </x:c>
      <x:c r="S12" s="94" t="str">
        <x:f>IF(AND(S6&gt;=$H12,S6&lt;=$I12),IF(S6&lt;=$H12+ROUND($J12*$L12,0)-1,2,1),"")</x:f>
      </x:c>
      <x:c r="T12" s="94" t="str">
        <x:f>IF(AND(T6&gt;=$H12,T6&lt;=$I12),IF(T6&lt;=$H12+ROUND($J12*$L12,0)-1,2,1),"")</x:f>
      </x:c>
      <x:c r="U12" s="94" t="str">
        <x:f>IF(AND(U6&gt;=$H12,U6&lt;=$I12),IF(U6&lt;=$H12+ROUND($J12*$L12,0)-1,2,1),"")</x:f>
      </x:c>
      <x:c r="V12" s="94" t="str">
        <x:f>IF(AND(V6&gt;=$H12,V6&lt;=$I12),IF(V6&lt;=$H12+ROUND($J12*$L12,0)-1,2,1),"")</x:f>
      </x:c>
      <x:c r="W12" s="94" t="str">
        <x:f>IF(AND(W6&gt;=$H12,W6&lt;=$I12),IF(W6&lt;=$H12+ROUND($J12*$L12,0)-1,2,1),"")</x:f>
      </x:c>
      <x:c r="X12" s="94" t="str">
        <x:f>IF(AND(X6&gt;=$H12,X6&lt;=$I12),IF(X6&lt;=$H12+ROUND($J12*$L12,0)-1,2,1),"")</x:f>
      </x:c>
      <x:c r="Y12" s="94" t="str">
        <x:f>IF(AND(Y6&gt;=$H12,Y6&lt;=$I12),IF(Y6&lt;=$H12+ROUND($J12*$L12,0)-1,2,1),"")</x:f>
      </x:c>
      <x:c r="Z12" s="94" t="str">
        <x:f>IF(AND(Z6&gt;=$H12,Z6&lt;=$I12),IF(Z6&lt;=$H12+ROUND($J12*$L12,0)-1,2,1),"")</x:f>
      </x:c>
      <x:c r="AA12" s="94" t="str">
        <x:f>IF(AND(AA6&gt;=$H12,AA6&lt;=$I12),IF(AA6&lt;=$H12+ROUND($J12*$L12,0)-1,2,1),"")</x:f>
      </x:c>
      <x:c r="AB12" s="94" t="str">
        <x:f>IF(AND(AB6&gt;=$H12,AB6&lt;=$I12),IF(AB6&lt;=$H12+ROUND($J12*$L12,0)-1,2,1),"")</x:f>
      </x:c>
      <x:c r="AC12" s="94" t="str">
        <x:f>IF(AND(AC6&gt;=$H12,AC6&lt;=$I12),IF(AC6&lt;=$H12+ROUND($J12*$L12,0)-1,2,1),"")</x:f>
      </x:c>
      <x:c r="AD12" s="94" t="str">
        <x:f>IF(AND(AD6&gt;=$H12,AD6&lt;=$I12),IF(AD6&lt;=$H12+ROUND($J12*$L12,0)-1,2,1),"")</x:f>
      </x:c>
      <x:c r="AE12" s="94" t="str">
        <x:f>IF(AND(AE6&gt;=$H12,AE6&lt;=$I12),IF(AE6&lt;=$H12+ROUND($J12*$L12,0)-1,2,1),"")</x:f>
      </x:c>
      <x:c r="AF12" s="94" t="str">
        <x:f>IF(AND(AF6&gt;=$H12,AF6&lt;=$I12),IF(AF6&lt;=$H12+ROUND($J12*$L12,0)-1,2,1),"")</x:f>
      </x:c>
      <x:c r="AG12" s="94" t="str">
        <x:f>IF(AND(AG6&gt;=$H12,AG6&lt;=$I12),IF(AG6&lt;=$H12+ROUND($J12*$L12,0)-1,2,1),"")</x:f>
      </x:c>
      <x:c r="AH12" s="94" t="str">
        <x:f>IF(AND(AH6&gt;=$H12,AH6&lt;=$I12),IF(AH6&lt;=$H12+ROUND($J12*$L12,0)-1,2,1),"")</x:f>
      </x:c>
      <x:c r="AI12" s="94" t="str">
        <x:f>IF(AND(AI6&gt;=$H12,AI6&lt;=$I12),IF(AI6&lt;=$H12+ROUND($J12*$L12,0)-1,2,1),"")</x:f>
      </x:c>
      <x:c r="AJ12" s="94" t="str">
        <x:f>IF(AND(AJ6&gt;=$H12,AJ6&lt;=$I12),IF(AJ6&lt;=$H12+ROUND($J12*$L12,0)-1,2,1),"")</x:f>
      </x:c>
      <x:c r="AK12" s="94" t="str">
        <x:f>IF(AND(AK6&gt;=$H12,AK6&lt;=$I12),IF(AK6&lt;=$H12+ROUND($J12*$L12,0)-1,2,1),"")</x:f>
      </x:c>
      <x:c r="AL12" s="94" t="str">
        <x:f>IF(AND(AL6&gt;=$H12,AL6&lt;=$I12),IF(AL6&lt;=$H12+ROUND($J12*$L12,0)-1,2,1),"")</x:f>
      </x:c>
      <x:c r="AM12" s="94" t="str">
        <x:f>IF(AND(AM6&gt;=$H12,AM6&lt;=$I12),IF(AM6&lt;=$H12+ROUND($J12*$L12,0)-1,2,1),"")</x:f>
      </x:c>
      <x:c r="AN12" s="94" t="str">
        <x:f>IF(AND(AN6&gt;=$H12,AN6&lt;=$I12),IF(AN6&lt;=$H12+ROUND($J12*$L12,0)-1,2,1),"")</x:f>
      </x:c>
      <x:c r="AO12" s="94" t="str">
        <x:f>IF(AND(AO6&gt;=$H12,AO6&lt;=$I12),IF(AO6&lt;=$H12+ROUND($J12*$L12,0)-1,2,1),"")</x:f>
      </x:c>
      <x:c r="AP12" s="94" t="str">
        <x:f>IF(AND(AP6&gt;=$H12,AP6&lt;=$I12),IF(AP6&lt;=$H12+ROUND($J12*$L12,0)-1,2,1),"")</x:f>
      </x:c>
      <x:c r="AQ12" s="94" t="str">
        <x:f>IF(AND(AQ6&gt;=$H12,AQ6&lt;=$I12),IF(AQ6&lt;=$H12+ROUND($J12*$L12,0)-1,2,1),"")</x:f>
      </x:c>
      <x:c r="AR12" s="94" t="str">
        <x:f>IF(AND(AR6&gt;=$H12,AR6&lt;=$I12),IF(AR6&lt;=$H12+ROUND($J12*$L12,0)-1,2,1),"")</x:f>
      </x:c>
      <x:c r="AS12" s="94" t="str">
        <x:f>IF(AND(AS6&gt;=$H12,AS6&lt;=$I12),IF(AS6&lt;=$H12+ROUND($J12*$L12,0)-1,2,1),"")</x:f>
      </x:c>
    </x:row>
    <x:row r="13" ht="34" customHeight="1">
      <x:c r="A13" s="74" t="str">
        <x:v>2.2</x:v>
      </x:c>
      <x:c r="B13" s="71" t="str">
        <x:v>权限与审批</x:v>
      </x:c>
      <x:c r="C13" s="71" t="str">
        <x:v>全链级组织数据隔离模型</x:v>
      </x:c>
      <x:c r="D13" s="71" t="str">
        <x:v>组织数据范围及跨组织授权规则</x:v>
      </x:c>
      <x:c r="E13" s="71" t="str">
        <x:v>技术部</x:v>
      </x:c>
      <x:c r="F13" s="71" t="str">
        <x:v>徐贵艳</x:v>
      </x:c>
      <x:c r="G13" s="71" t="str">
        <x:v>胡丹</x:v>
      </x:c>
      <x:c r="H13" s="86" t="n">
        <x:v>46238</x:v>
      </x:c>
      <x:c r="I13" s="86" t="n">
        <x:v>46241</x:v>
      </x:c>
      <x:c r="J13" s="80" t="n">
        <x:f>I13-H13+1</x:f>
        <x:v>4</x:v>
      </x:c>
      <x:c r="K13" s="71" t="str">
        <x:v>2.1</x:v>
      </x:c>
      <x:c r="L13" s="89" t="n">
        <x:v>0.1</x:v>
      </x:c>
      <x:c r="M13" s="74" t="str">
        <x:v>高</x:v>
      </x:c>
      <x:c r="N13" s="74" t="str">
        <x:v>是</x:v>
      </x:c>
      <x:c r="O13" s="94" t="str">
        <x:f>IF(AND(O6&gt;=$H13,O6&lt;=$I13),IF(O6&lt;=$H13+ROUND($J13*$L13,0)-1,2,1),"")</x:f>
      </x:c>
      <x:c r="P13" s="94" t="n">
        <x:f>IF(AND(P6&gt;=$H13,P6&lt;=$I13),IF(P6&lt;=$H13+ROUND($J13*$L13,0)-1,2,1),"")</x:f>
        <x:v>1</x:v>
      </x:c>
      <x:c r="Q13" s="94" t="n">
        <x:f>IF(AND(Q6&gt;=$H13,Q6&lt;=$I13),IF(Q6&lt;=$H13+ROUND($J13*$L13,0)-1,2,1),"")</x:f>
        <x:v>1</x:v>
      </x:c>
      <x:c r="R13" s="94" t="n">
        <x:f>IF(AND(R6&gt;=$H13,R6&lt;=$I13),IF(R6&lt;=$H13+ROUND($J13*$L13,0)-1,2,1),"")</x:f>
        <x:v>1</x:v>
      </x:c>
      <x:c r="S13" s="94" t="n">
        <x:f>IF(AND(S6&gt;=$H13,S6&lt;=$I13),IF(S6&lt;=$H13+ROUND($J13*$L13,0)-1,2,1),"")</x:f>
        <x:v>1</x:v>
      </x:c>
      <x:c r="T13" s="94" t="str">
        <x:f>IF(AND(T6&gt;=$H13,T6&lt;=$I13),IF(T6&lt;=$H13+ROUND($J13*$L13,0)-1,2,1),"")</x:f>
      </x:c>
      <x:c r="U13" s="94" t="str">
        <x:f>IF(AND(U6&gt;=$H13,U6&lt;=$I13),IF(U6&lt;=$H13+ROUND($J13*$L13,0)-1,2,1),"")</x:f>
      </x:c>
      <x:c r="V13" s="94" t="str">
        <x:f>IF(AND(V6&gt;=$H13,V6&lt;=$I13),IF(V6&lt;=$H13+ROUND($J13*$L13,0)-1,2,1),"")</x:f>
      </x:c>
      <x:c r="W13" s="94" t="str">
        <x:f>IF(AND(W6&gt;=$H13,W6&lt;=$I13),IF(W6&lt;=$H13+ROUND($J13*$L13,0)-1,2,1),"")</x:f>
      </x:c>
      <x:c r="X13" s="94" t="str">
        <x:f>IF(AND(X6&gt;=$H13,X6&lt;=$I13),IF(X6&lt;=$H13+ROUND($J13*$L13,0)-1,2,1),"")</x:f>
      </x:c>
      <x:c r="Y13" s="94" t="str">
        <x:f>IF(AND(Y6&gt;=$H13,Y6&lt;=$I13),IF(Y6&lt;=$H13+ROUND($J13*$L13,0)-1,2,1),"")</x:f>
      </x:c>
      <x:c r="Z13" s="94" t="str">
        <x:f>IF(AND(Z6&gt;=$H13,Z6&lt;=$I13),IF(Z6&lt;=$H13+ROUND($J13*$L13,0)-1,2,1),"")</x:f>
      </x:c>
      <x:c r="AA13" s="94" t="str">
        <x:f>IF(AND(AA6&gt;=$H13,AA6&lt;=$I13),IF(AA6&lt;=$H13+ROUND($J13*$L13,0)-1,2,1),"")</x:f>
      </x:c>
      <x:c r="AB13" s="94" t="str">
        <x:f>IF(AND(AB6&gt;=$H13,AB6&lt;=$I13),IF(AB6&lt;=$H13+ROUND($J13*$L13,0)-1,2,1),"")</x:f>
      </x:c>
      <x:c r="AC13" s="94" t="str">
        <x:f>IF(AND(AC6&gt;=$H13,AC6&lt;=$I13),IF(AC6&lt;=$H13+ROUND($J13*$L13,0)-1,2,1),"")</x:f>
      </x:c>
      <x:c r="AD13" s="94" t="str">
        <x:f>IF(AND(AD6&gt;=$H13,AD6&lt;=$I13),IF(AD6&lt;=$H13+ROUND($J13*$L13,0)-1,2,1),"")</x:f>
      </x:c>
      <x:c r="AE13" s="94" t="str">
        <x:f>IF(AND(AE6&gt;=$H13,AE6&lt;=$I13),IF(AE6&lt;=$H13+ROUND($J13*$L13,0)-1,2,1),"")</x:f>
      </x:c>
      <x:c r="AF13" s="94" t="str">
        <x:f>IF(AND(AF6&gt;=$H13,AF6&lt;=$I13),IF(AF6&lt;=$H13+ROUND($J13*$L13,0)-1,2,1),"")</x:f>
      </x:c>
      <x:c r="AG13" s="94" t="str">
        <x:f>IF(AND(AG6&gt;=$H13,AG6&lt;=$I13),IF(AG6&lt;=$H13+ROUND($J13*$L13,0)-1,2,1),"")</x:f>
      </x:c>
      <x:c r="AH13" s="94" t="str">
        <x:f>IF(AND(AH6&gt;=$H13,AH6&lt;=$I13),IF(AH6&lt;=$H13+ROUND($J13*$L13,0)-1,2,1),"")</x:f>
      </x:c>
      <x:c r="AI13" s="94" t="str">
        <x:f>IF(AND(AI6&gt;=$H13,AI6&lt;=$I13),IF(AI6&lt;=$H13+ROUND($J13*$L13,0)-1,2,1),"")</x:f>
      </x:c>
      <x:c r="AJ13" s="94" t="str">
        <x:f>IF(AND(AJ6&gt;=$H13,AJ6&lt;=$I13),IF(AJ6&lt;=$H13+ROUND($J13*$L13,0)-1,2,1),"")</x:f>
      </x:c>
      <x:c r="AK13" s="94" t="str">
        <x:f>IF(AND(AK6&gt;=$H13,AK6&lt;=$I13),IF(AK6&lt;=$H13+ROUND($J13*$L13,0)-1,2,1),"")</x:f>
      </x:c>
      <x:c r="AL13" s="94" t="str">
        <x:f>IF(AND(AL6&gt;=$H13,AL6&lt;=$I13),IF(AL6&lt;=$H13+ROUND($J13*$L13,0)-1,2,1),"")</x:f>
      </x:c>
      <x:c r="AM13" s="94" t="str">
        <x:f>IF(AND(AM6&gt;=$H13,AM6&lt;=$I13),IF(AM6&lt;=$H13+ROUND($J13*$L13,0)-1,2,1),"")</x:f>
      </x:c>
      <x:c r="AN13" s="94" t="str">
        <x:f>IF(AND(AN6&gt;=$H13,AN6&lt;=$I13),IF(AN6&lt;=$H13+ROUND($J13*$L13,0)-1,2,1),"")</x:f>
      </x:c>
      <x:c r="AO13" s="94" t="str">
        <x:f>IF(AND(AO6&gt;=$H13,AO6&lt;=$I13),IF(AO6&lt;=$H13+ROUND($J13*$L13,0)-1,2,1),"")</x:f>
      </x:c>
      <x:c r="AP13" s="94" t="str">
        <x:f>IF(AND(AP6&gt;=$H13,AP6&lt;=$I13),IF(AP6&lt;=$H13+ROUND($J13*$L13,0)-1,2,1),"")</x:f>
      </x:c>
      <x:c r="AQ13" s="94" t="str">
        <x:f>IF(AND(AQ6&gt;=$H13,AQ6&lt;=$I13),IF(AQ6&lt;=$H13+ROUND($J13*$L13,0)-1,2,1),"")</x:f>
      </x:c>
      <x:c r="AR13" s="94" t="str">
        <x:f>IF(AND(AR6&gt;=$H13,AR6&lt;=$I13),IF(AR6&lt;=$H13+ROUND($J13*$L13,0)-1,2,1),"")</x:f>
      </x:c>
      <x:c r="AS13" s="94" t="str">
        <x:f>IF(AND(AS6&gt;=$H13,AS6&lt;=$I13),IF(AS6&lt;=$H13+ROUND($J13*$L13,0)-1,2,1),"")</x:f>
      </x:c>
    </x:row>
    <x:row r="14" ht="34" customHeight="1">
      <x:c r="A14" s="74" t="str">
        <x:v>2.3</x:v>
      </x:c>
      <x:c r="B14" s="71" t="str">
        <x:v>权限与审批</x:v>
      </x:c>
      <x:c r="C14" s="71" t="str">
        <x:v>业务 API 数据范围强制过滤</x:v>
      </x:c>
      <x:c r="D14" s="71" t="str">
        <x:v>采购、生产、库存、销售、领用接口隔离</x:v>
      </x:c>
      <x:c r="E14" s="71" t="str">
        <x:v>技术部</x:v>
      </x:c>
      <x:c r="F14" s="71" t="str">
        <x:v>徐贵艳</x:v>
      </x:c>
      <x:c r="G14" s="71" t="str">
        <x:v>胡丹</x:v>
      </x:c>
      <x:c r="H14" s="86" t="n">
        <x:v>46240</x:v>
      </x:c>
      <x:c r="I14" s="86" t="n">
        <x:v>46245</x:v>
      </x:c>
      <x:c r="J14" s="80" t="n">
        <x:f>I14-H14+1</x:f>
        <x:v>6</x:v>
      </x:c>
      <x:c r="K14" s="71" t="str">
        <x:v>2.2</x:v>
      </x:c>
      <x:c r="L14" s="89" t="n">
        <x:v>0</x:v>
      </x:c>
      <x:c r="M14" s="74" t="str">
        <x:v>高</x:v>
      </x:c>
      <x:c r="N14" s="74" t="str">
        <x:v>是</x:v>
      </x:c>
      <x:c r="O14" s="94" t="str">
        <x:f>IF(AND(O6&gt;=$H14,O6&lt;=$I14),IF(O6&lt;=$H14+ROUND($J14*$L14,0)-1,2,1),"")</x:f>
      </x:c>
      <x:c r="P14" s="94" t="str">
        <x:f>IF(AND(P6&gt;=$H14,P6&lt;=$I14),IF(P6&lt;=$H14+ROUND($J14*$L14,0)-1,2,1),"")</x:f>
      </x:c>
      <x:c r="Q14" s="94" t="str">
        <x:f>IF(AND(Q6&gt;=$H14,Q6&lt;=$I14),IF(Q6&lt;=$H14+ROUND($J14*$L14,0)-1,2,1),"")</x:f>
      </x:c>
      <x:c r="R14" s="94" t="n">
        <x:f>IF(AND(R6&gt;=$H14,R6&lt;=$I14),IF(R6&lt;=$H14+ROUND($J14*$L14,0)-1,2,1),"")</x:f>
        <x:v>1</x:v>
      </x:c>
      <x:c r="S14" s="94" t="n">
        <x:f>IF(AND(S6&gt;=$H14,S6&lt;=$I14),IF(S6&lt;=$H14+ROUND($J14*$L14,0)-1,2,1),"")</x:f>
        <x:v>1</x:v>
      </x:c>
      <x:c r="T14" s="94" t="n">
        <x:f>IF(AND(T6&gt;=$H14,T6&lt;=$I14),IF(T6&lt;=$H14+ROUND($J14*$L14,0)-1,2,1),"")</x:f>
        <x:v>1</x:v>
      </x:c>
      <x:c r="U14" s="94" t="n">
        <x:f>IF(AND(U6&gt;=$H14,U6&lt;=$I14),IF(U6&lt;=$H14+ROUND($J14*$L14,0)-1,2,1),"")</x:f>
        <x:v>1</x:v>
      </x:c>
      <x:c r="V14" s="94" t="n">
        <x:f>IF(AND(V6&gt;=$H14,V6&lt;=$I14),IF(V6&lt;=$H14+ROUND($J14*$L14,0)-1,2,1),"")</x:f>
        <x:v>1</x:v>
      </x:c>
      <x:c r="W14" s="94" t="n">
        <x:f>IF(AND(W6&gt;=$H14,W6&lt;=$I14),IF(W6&lt;=$H14+ROUND($J14*$L14,0)-1,2,1),"")</x:f>
        <x:v>1</x:v>
      </x:c>
      <x:c r="X14" s="94" t="str">
        <x:f>IF(AND(X6&gt;=$H14,X6&lt;=$I14),IF(X6&lt;=$H14+ROUND($J14*$L14,0)-1,2,1),"")</x:f>
      </x:c>
      <x:c r="Y14" s="94" t="str">
        <x:f>IF(AND(Y6&gt;=$H14,Y6&lt;=$I14),IF(Y6&lt;=$H14+ROUND($J14*$L14,0)-1,2,1),"")</x:f>
      </x:c>
      <x:c r="Z14" s="94" t="str">
        <x:f>IF(AND(Z6&gt;=$H14,Z6&lt;=$I14),IF(Z6&lt;=$H14+ROUND($J14*$L14,0)-1,2,1),"")</x:f>
      </x:c>
      <x:c r="AA14" s="94" t="str">
        <x:f>IF(AND(AA6&gt;=$H14,AA6&lt;=$I14),IF(AA6&lt;=$H14+ROUND($J14*$L14,0)-1,2,1),"")</x:f>
      </x:c>
      <x:c r="AB14" s="94" t="str">
        <x:f>IF(AND(AB6&gt;=$H14,AB6&lt;=$I14),IF(AB6&lt;=$H14+ROUND($J14*$L14,0)-1,2,1),"")</x:f>
      </x:c>
      <x:c r="AC14" s="94" t="str">
        <x:f>IF(AND(AC6&gt;=$H14,AC6&lt;=$I14),IF(AC6&lt;=$H14+ROUND($J14*$L14,0)-1,2,1),"")</x:f>
      </x:c>
      <x:c r="AD14" s="94" t="str">
        <x:f>IF(AND(AD6&gt;=$H14,AD6&lt;=$I14),IF(AD6&lt;=$H14+ROUND($J14*$L14,0)-1,2,1),"")</x:f>
      </x:c>
      <x:c r="AE14" s="94" t="str">
        <x:f>IF(AND(AE6&gt;=$H14,AE6&lt;=$I14),IF(AE6&lt;=$H14+ROUND($J14*$L14,0)-1,2,1),"")</x:f>
      </x:c>
      <x:c r="AF14" s="94" t="str">
        <x:f>IF(AND(AF6&gt;=$H14,AF6&lt;=$I14),IF(AF6&lt;=$H14+ROUND($J14*$L14,0)-1,2,1),"")</x:f>
      </x:c>
      <x:c r="AG14" s="94" t="str">
        <x:f>IF(AND(AG6&gt;=$H14,AG6&lt;=$I14),IF(AG6&lt;=$H14+ROUND($J14*$L14,0)-1,2,1),"")</x:f>
      </x:c>
      <x:c r="AH14" s="94" t="str">
        <x:f>IF(AND(AH6&gt;=$H14,AH6&lt;=$I14),IF(AH6&lt;=$H14+ROUND($J14*$L14,0)-1,2,1),"")</x:f>
      </x:c>
      <x:c r="AI14" s="94" t="str">
        <x:f>IF(AND(AI6&gt;=$H14,AI6&lt;=$I14),IF(AI6&lt;=$H14+ROUND($J14*$L14,0)-1,2,1),"")</x:f>
      </x:c>
      <x:c r="AJ14" s="94" t="str">
        <x:f>IF(AND(AJ6&gt;=$H14,AJ6&lt;=$I14),IF(AJ6&lt;=$H14+ROUND($J14*$L14,0)-1,2,1),"")</x:f>
      </x:c>
      <x:c r="AK14" s="94" t="str">
        <x:f>IF(AND(AK6&gt;=$H14,AK6&lt;=$I14),IF(AK6&lt;=$H14+ROUND($J14*$L14,0)-1,2,1),"")</x:f>
      </x:c>
      <x:c r="AL14" s="94" t="str">
        <x:f>IF(AND(AL6&gt;=$H14,AL6&lt;=$I14),IF(AL6&lt;=$H14+ROUND($J14*$L14,0)-1,2,1),"")</x:f>
      </x:c>
      <x:c r="AM14" s="94" t="str">
        <x:f>IF(AND(AM6&gt;=$H14,AM6&lt;=$I14),IF(AM6&lt;=$H14+ROUND($J14*$L14,0)-1,2,1),"")</x:f>
      </x:c>
      <x:c r="AN14" s="94" t="str">
        <x:f>IF(AND(AN6&gt;=$H14,AN6&lt;=$I14),IF(AN6&lt;=$H14+ROUND($J14*$L14,0)-1,2,1),"")</x:f>
      </x:c>
      <x:c r="AO14" s="94" t="str">
        <x:f>IF(AND(AO6&gt;=$H14,AO6&lt;=$I14),IF(AO6&lt;=$H14+ROUND($J14*$L14,0)-1,2,1),"")</x:f>
      </x:c>
      <x:c r="AP14" s="94" t="str">
        <x:f>IF(AND(AP6&gt;=$H14,AP6&lt;=$I14),IF(AP6&lt;=$H14+ROUND($J14*$L14,0)-1,2,1),"")</x:f>
      </x:c>
      <x:c r="AQ14" s="94" t="str">
        <x:f>IF(AND(AQ6&gt;=$H14,AQ6&lt;=$I14),IF(AQ6&lt;=$H14+ROUND($J14*$L14,0)-1,2,1),"")</x:f>
      </x:c>
      <x:c r="AR14" s="94" t="str">
        <x:f>IF(AND(AR6&gt;=$H14,AR6&lt;=$I14),IF(AR6&lt;=$H14+ROUND($J14*$L14,0)-1,2,1),"")</x:f>
      </x:c>
      <x:c r="AS14" s="94" t="str">
        <x:f>IF(AND(AS6&gt;=$H14,AS6&lt;=$I14),IF(AS6&lt;=$H14+ROUND($J14*$L14,0)-1,2,1),"")</x:f>
      </x:c>
    </x:row>
    <x:row r="15" ht="34" customHeight="1">
      <x:c r="A15" s="74" t="str">
        <x:v>2.4</x:v>
      </x:c>
      <x:c r="B15" s="71" t="str">
        <x:v>权限与审批</x:v>
      </x:c>
      <x:c r="C15" s="71" t="str">
        <x:v>审批节点与状态流转完善</x:v>
      </x:c>
      <x:c r="D15" s="71" t="str">
        <x:v>申请审批、驳回、重提与留痕</x:v>
      </x:c>
      <x:c r="E15" s="71" t="str">
        <x:v>技术部</x:v>
      </x:c>
      <x:c r="F15" s="71" t="str">
        <x:v>徐贵艳</x:v>
      </x:c>
      <x:c r="G15" s="71" t="str">
        <x:v>胡丹</x:v>
      </x:c>
      <x:c r="H15" s="86" t="n">
        <x:v>46241</x:v>
      </x:c>
      <x:c r="I15" s="86" t="n">
        <x:v>46246</x:v>
      </x:c>
      <x:c r="J15" s="80" t="n">
        <x:f>I15-H15+1</x:f>
        <x:v>6</x:v>
      </x:c>
      <x:c r="K15" s="71" t="str">
        <x:v>2.1</x:v>
      </x:c>
      <x:c r="L15" s="89" t="n">
        <x:v>0</x:v>
      </x:c>
      <x:c r="M15" s="74" t="str">
        <x:v>高</x:v>
      </x:c>
      <x:c r="N15" s="74" t="str">
        <x:v>是</x:v>
      </x:c>
      <x:c r="O15" s="94" t="str">
        <x:f>IF(AND(O6&gt;=$H15,O6&lt;=$I15),IF(O6&lt;=$H15+ROUND($J15*$L15,0)-1,2,1),"")</x:f>
      </x:c>
      <x:c r="P15" s="94" t="str">
        <x:f>IF(AND(P6&gt;=$H15,P6&lt;=$I15),IF(P6&lt;=$H15+ROUND($J15*$L15,0)-1,2,1),"")</x:f>
      </x:c>
      <x:c r="Q15" s="94" t="str">
        <x:f>IF(AND(Q6&gt;=$H15,Q6&lt;=$I15),IF(Q6&lt;=$H15+ROUND($J15*$L15,0)-1,2,1),"")</x:f>
      </x:c>
      <x:c r="R15" s="94" t="str">
        <x:f>IF(AND(R6&gt;=$H15,R6&lt;=$I15),IF(R6&lt;=$H15+ROUND($J15*$L15,0)-1,2,1),"")</x:f>
      </x:c>
      <x:c r="S15" s="94" t="n">
        <x:f>IF(AND(S6&gt;=$H15,S6&lt;=$I15),IF(S6&lt;=$H15+ROUND($J15*$L15,0)-1,2,1),"")</x:f>
        <x:v>1</x:v>
      </x:c>
      <x:c r="T15" s="94" t="n">
        <x:f>IF(AND(T6&gt;=$H15,T6&lt;=$I15),IF(T6&lt;=$H15+ROUND($J15*$L15,0)-1,2,1),"")</x:f>
        <x:v>1</x:v>
      </x:c>
      <x:c r="U15" s="94" t="n">
        <x:f>IF(AND(U6&gt;=$H15,U6&lt;=$I15),IF(U6&lt;=$H15+ROUND($J15*$L15,0)-1,2,1),"")</x:f>
        <x:v>1</x:v>
      </x:c>
      <x:c r="V15" s="94" t="n">
        <x:f>IF(AND(V6&gt;=$H15,V6&lt;=$I15),IF(V6&lt;=$H15+ROUND($J15*$L15,0)-1,2,1),"")</x:f>
        <x:v>1</x:v>
      </x:c>
      <x:c r="W15" s="94" t="n">
        <x:f>IF(AND(W6&gt;=$H15,W6&lt;=$I15),IF(W6&lt;=$H15+ROUND($J15*$L15,0)-1,2,1),"")</x:f>
        <x:v>1</x:v>
      </x:c>
      <x:c r="X15" s="94" t="n">
        <x:f>IF(AND(X6&gt;=$H15,X6&lt;=$I15),IF(X6&lt;=$H15+ROUND($J15*$L15,0)-1,2,1),"")</x:f>
        <x:v>1</x:v>
      </x:c>
      <x:c r="Y15" s="94" t="str">
        <x:f>IF(AND(Y6&gt;=$H15,Y6&lt;=$I15),IF(Y6&lt;=$H15+ROUND($J15*$L15,0)-1,2,1),"")</x:f>
      </x:c>
      <x:c r="Z15" s="94" t="str">
        <x:f>IF(AND(Z6&gt;=$H15,Z6&lt;=$I15),IF(Z6&lt;=$H15+ROUND($J15*$L15,0)-1,2,1),"")</x:f>
      </x:c>
      <x:c r="AA15" s="94" t="str">
        <x:f>IF(AND(AA6&gt;=$H15,AA6&lt;=$I15),IF(AA6&lt;=$H15+ROUND($J15*$L15,0)-1,2,1),"")</x:f>
      </x:c>
      <x:c r="AB15" s="94" t="str">
        <x:f>IF(AND(AB6&gt;=$H15,AB6&lt;=$I15),IF(AB6&lt;=$H15+ROUND($J15*$L15,0)-1,2,1),"")</x:f>
      </x:c>
      <x:c r="AC15" s="94" t="str">
        <x:f>IF(AND(AC6&gt;=$H15,AC6&lt;=$I15),IF(AC6&lt;=$H15+ROUND($J15*$L15,0)-1,2,1),"")</x:f>
      </x:c>
      <x:c r="AD15" s="94" t="str">
        <x:f>IF(AND(AD6&gt;=$H15,AD6&lt;=$I15),IF(AD6&lt;=$H15+ROUND($J15*$L15,0)-1,2,1),"")</x:f>
      </x:c>
      <x:c r="AE15" s="94" t="str">
        <x:f>IF(AND(AE6&gt;=$H15,AE6&lt;=$I15),IF(AE6&lt;=$H15+ROUND($J15*$L15,0)-1,2,1),"")</x:f>
      </x:c>
      <x:c r="AF15" s="94" t="str">
        <x:f>IF(AND(AF6&gt;=$H15,AF6&lt;=$I15),IF(AF6&lt;=$H15+ROUND($J15*$L15,0)-1,2,1),"")</x:f>
      </x:c>
      <x:c r="AG15" s="94" t="str">
        <x:f>IF(AND(AG6&gt;=$H15,AG6&lt;=$I15),IF(AG6&lt;=$H15+ROUND($J15*$L15,0)-1,2,1),"")</x:f>
      </x:c>
      <x:c r="AH15" s="94" t="str">
        <x:f>IF(AND(AH6&gt;=$H15,AH6&lt;=$I15),IF(AH6&lt;=$H15+ROUND($J15*$L15,0)-1,2,1),"")</x:f>
      </x:c>
      <x:c r="AI15" s="94" t="str">
        <x:f>IF(AND(AI6&gt;=$H15,AI6&lt;=$I15),IF(AI6&lt;=$H15+ROUND($J15*$L15,0)-1,2,1),"")</x:f>
      </x:c>
      <x:c r="AJ15" s="94" t="str">
        <x:f>IF(AND(AJ6&gt;=$H15,AJ6&lt;=$I15),IF(AJ6&lt;=$H15+ROUND($J15*$L15,0)-1,2,1),"")</x:f>
      </x:c>
      <x:c r="AK15" s="94" t="str">
        <x:f>IF(AND(AK6&gt;=$H15,AK6&lt;=$I15),IF(AK6&lt;=$H15+ROUND($J15*$L15,0)-1,2,1),"")</x:f>
      </x:c>
      <x:c r="AL15" s="94" t="str">
        <x:f>IF(AND(AL6&gt;=$H15,AL6&lt;=$I15),IF(AL6&lt;=$H15+ROUND($J15*$L15,0)-1,2,1),"")</x:f>
      </x:c>
      <x:c r="AM15" s="94" t="str">
        <x:f>IF(AND(AM6&gt;=$H15,AM6&lt;=$I15),IF(AM6&lt;=$H15+ROUND($J15*$L15,0)-1,2,1),"")</x:f>
      </x:c>
      <x:c r="AN15" s="94" t="str">
        <x:f>IF(AND(AN6&gt;=$H15,AN6&lt;=$I15),IF(AN6&lt;=$H15+ROUND($J15*$L15,0)-1,2,1),"")</x:f>
      </x:c>
      <x:c r="AO15" s="94" t="str">
        <x:f>IF(AND(AO6&gt;=$H15,AO6&lt;=$I15),IF(AO6&lt;=$H15+ROUND($J15*$L15,0)-1,2,1),"")</x:f>
      </x:c>
      <x:c r="AP15" s="94" t="str">
        <x:f>IF(AND(AP6&gt;=$H15,AP6&lt;=$I15),IF(AP6&lt;=$H15+ROUND($J15*$L15,0)-1,2,1),"")</x:f>
      </x:c>
      <x:c r="AQ15" s="94" t="str">
        <x:f>IF(AND(AQ6&gt;=$H15,AQ6&lt;=$I15),IF(AQ6&lt;=$H15+ROUND($J15*$L15,0)-1,2,1),"")</x:f>
      </x:c>
      <x:c r="AR15" s="94" t="str">
        <x:f>IF(AND(AR6&gt;=$H15,AR6&lt;=$I15),IF(AR6&lt;=$H15+ROUND($J15*$L15,0)-1,2,1),"")</x:f>
      </x:c>
      <x:c r="AS15" s="94" t="str">
        <x:f>IF(AND(AS6&gt;=$H15,AS6&lt;=$I15),IF(AS6&lt;=$H15+ROUND($J15*$L15,0)-1,2,1),"")</x:f>
      </x:c>
    </x:row>
    <x:row r="16" ht="34" customHeight="1">
      <x:c r="A16" s="74" t="str">
        <x:v>2.5</x:v>
      </x:c>
      <x:c r="B16" s="71" t="str">
        <x:v>权限与审批</x:v>
      </x:c>
      <x:c r="C16" s="71" t="str">
        <x:v>前端数据范围与权限管理界面</x:v>
      </x:c>
      <x:c r="D16" s="71" t="str">
        <x:v>可见组织、操作权限与审批权限一致</x:v>
      </x:c>
      <x:c r="E16" s="71" t="str">
        <x:v>技术部</x:v>
      </x:c>
      <x:c r="F16" s="71" t="str">
        <x:v>徐贵艳</x:v>
      </x:c>
      <x:c r="G16" s="71" t="str">
        <x:v>胡丹</x:v>
      </x:c>
      <x:c r="H16" s="86" t="n">
        <x:v>46244</x:v>
      </x:c>
      <x:c r="I16" s="86" t="n">
        <x:v>46247</x:v>
      </x:c>
      <x:c r="J16" s="80" t="n">
        <x:f>I16-H16+1</x:f>
        <x:v>4</x:v>
      </x:c>
      <x:c r="K16" s="71" t="str">
        <x:v>2.3,2.4</x:v>
      </x:c>
      <x:c r="L16" s="89" t="n">
        <x:v>0</x:v>
      </x:c>
      <x:c r="M16" s="74" t="str">
        <x:v>中</x:v>
      </x:c>
      <x:c r="N16" s="74" t="str">
        <x:v>是</x:v>
      </x:c>
      <x:c r="O16" s="94" t="str">
        <x:f>IF(AND(O6&gt;=$H16,O6&lt;=$I16),IF(O6&lt;=$H16+ROUND($J16*$L16,0)-1,2,1),"")</x:f>
      </x:c>
      <x:c r="P16" s="94" t="str">
        <x:f>IF(AND(P6&gt;=$H16,P6&lt;=$I16),IF(P6&lt;=$H16+ROUND($J16*$L16,0)-1,2,1),"")</x:f>
      </x:c>
      <x:c r="Q16" s="94" t="str">
        <x:f>IF(AND(Q6&gt;=$H16,Q6&lt;=$I16),IF(Q6&lt;=$H16+ROUND($J16*$L16,0)-1,2,1),"")</x:f>
      </x:c>
      <x:c r="R16" s="94" t="str">
        <x:f>IF(AND(R6&gt;=$H16,R6&lt;=$I16),IF(R6&lt;=$H16+ROUND($J16*$L16,0)-1,2,1),"")</x:f>
      </x:c>
      <x:c r="S16" s="94" t="str">
        <x:f>IF(AND(S6&gt;=$H16,S6&lt;=$I16),IF(S6&lt;=$H16+ROUND($J16*$L16,0)-1,2,1),"")</x:f>
      </x:c>
      <x:c r="T16" s="94" t="str">
        <x:f>IF(AND(T6&gt;=$H16,T6&lt;=$I16),IF(T6&lt;=$H16+ROUND($J16*$L16,0)-1,2,1),"")</x:f>
      </x:c>
      <x:c r="U16" s="94" t="str">
        <x:f>IF(AND(U6&gt;=$H16,U6&lt;=$I16),IF(U6&lt;=$H16+ROUND($J16*$L16,0)-1,2,1),"")</x:f>
      </x:c>
      <x:c r="V16" s="94" t="n">
        <x:f>IF(AND(V6&gt;=$H16,V6&lt;=$I16),IF(V6&lt;=$H16+ROUND($J16*$L16,0)-1,2,1),"")</x:f>
        <x:v>1</x:v>
      </x:c>
      <x:c r="W16" s="94" t="n">
        <x:f>IF(AND(W6&gt;=$H16,W6&lt;=$I16),IF(W6&lt;=$H16+ROUND($J16*$L16,0)-1,2,1),"")</x:f>
        <x:v>1</x:v>
      </x:c>
      <x:c r="X16" s="94" t="n">
        <x:f>IF(AND(X6&gt;=$H16,X6&lt;=$I16),IF(X6&lt;=$H16+ROUND($J16*$L16,0)-1,2,1),"")</x:f>
        <x:v>1</x:v>
      </x:c>
      <x:c r="Y16" s="94" t="n">
        <x:f>IF(AND(Y6&gt;=$H16,Y6&lt;=$I16),IF(Y6&lt;=$H16+ROUND($J16*$L16,0)-1,2,1),"")</x:f>
        <x:v>1</x:v>
      </x:c>
      <x:c r="Z16" s="94" t="str">
        <x:f>IF(AND(Z6&gt;=$H16,Z6&lt;=$I16),IF(Z6&lt;=$H16+ROUND($J16*$L16,0)-1,2,1),"")</x:f>
      </x:c>
      <x:c r="AA16" s="94" t="str">
        <x:f>IF(AND(AA6&gt;=$H16,AA6&lt;=$I16),IF(AA6&lt;=$H16+ROUND($J16*$L16,0)-1,2,1),"")</x:f>
      </x:c>
      <x:c r="AB16" s="94" t="str">
        <x:f>IF(AND(AB6&gt;=$H16,AB6&lt;=$I16),IF(AB6&lt;=$H16+ROUND($J16*$L16,0)-1,2,1),"")</x:f>
      </x:c>
      <x:c r="AC16" s="94" t="str">
        <x:f>IF(AND(AC6&gt;=$H16,AC6&lt;=$I16),IF(AC6&lt;=$H16+ROUND($J16*$L16,0)-1,2,1),"")</x:f>
      </x:c>
      <x:c r="AD16" s="94" t="str">
        <x:f>IF(AND(AD6&gt;=$H16,AD6&lt;=$I16),IF(AD6&lt;=$H16+ROUND($J16*$L16,0)-1,2,1),"")</x:f>
      </x:c>
      <x:c r="AE16" s="94" t="str">
        <x:f>IF(AND(AE6&gt;=$H16,AE6&lt;=$I16),IF(AE6&lt;=$H16+ROUND($J16*$L16,0)-1,2,1),"")</x:f>
      </x:c>
      <x:c r="AF16" s="94" t="str">
        <x:f>IF(AND(AF6&gt;=$H16,AF6&lt;=$I16),IF(AF6&lt;=$H16+ROUND($J16*$L16,0)-1,2,1),"")</x:f>
      </x:c>
      <x:c r="AG16" s="94" t="str">
        <x:f>IF(AND(AG6&gt;=$H16,AG6&lt;=$I16),IF(AG6&lt;=$H16+ROUND($J16*$L16,0)-1,2,1),"")</x:f>
      </x:c>
      <x:c r="AH16" s="94" t="str">
        <x:f>IF(AND(AH6&gt;=$H16,AH6&lt;=$I16),IF(AH6&lt;=$H16+ROUND($J16*$L16,0)-1,2,1),"")</x:f>
      </x:c>
      <x:c r="AI16" s="94" t="str">
        <x:f>IF(AND(AI6&gt;=$H16,AI6&lt;=$I16),IF(AI6&lt;=$H16+ROUND($J16*$L16,0)-1,2,1),"")</x:f>
      </x:c>
      <x:c r="AJ16" s="94" t="str">
        <x:f>IF(AND(AJ6&gt;=$H16,AJ6&lt;=$I16),IF(AJ6&lt;=$H16+ROUND($J16*$L16,0)-1,2,1),"")</x:f>
      </x:c>
      <x:c r="AK16" s="94" t="str">
        <x:f>IF(AND(AK6&gt;=$H16,AK6&lt;=$I16),IF(AK6&lt;=$H16+ROUND($J16*$L16,0)-1,2,1),"")</x:f>
      </x:c>
      <x:c r="AL16" s="94" t="str">
        <x:f>IF(AND(AL6&gt;=$H16,AL6&lt;=$I16),IF(AL6&lt;=$H16+ROUND($J16*$L16,0)-1,2,1),"")</x:f>
      </x:c>
      <x:c r="AM16" s="94" t="str">
        <x:f>IF(AND(AM6&gt;=$H16,AM6&lt;=$I16),IF(AM6&lt;=$H16+ROUND($J16*$L16,0)-1,2,1),"")</x:f>
      </x:c>
      <x:c r="AN16" s="94" t="str">
        <x:f>IF(AND(AN6&gt;=$H16,AN6&lt;=$I16),IF(AN6&lt;=$H16+ROUND($J16*$L16,0)-1,2,1),"")</x:f>
      </x:c>
      <x:c r="AO16" s="94" t="str">
        <x:f>IF(AND(AO6&gt;=$H16,AO6&lt;=$I16),IF(AO6&lt;=$H16+ROUND($J16*$L16,0)-1,2,1),"")</x:f>
      </x:c>
      <x:c r="AP16" s="94" t="str">
        <x:f>IF(AND(AP6&gt;=$H16,AP6&lt;=$I16),IF(AP6&lt;=$H16+ROUND($J16*$L16,0)-1,2,1),"")</x:f>
      </x:c>
      <x:c r="AQ16" s="94" t="str">
        <x:f>IF(AND(AQ6&gt;=$H16,AQ6&lt;=$I16),IF(AQ6&lt;=$H16+ROUND($J16*$L16,0)-1,2,1),"")</x:f>
      </x:c>
      <x:c r="AR16" s="94" t="str">
        <x:f>IF(AND(AR6&gt;=$H16,AR6&lt;=$I16),IF(AR6&lt;=$H16+ROUND($J16*$L16,0)-1,2,1),"")</x:f>
      </x:c>
      <x:c r="AS16" s="94" t="str">
        <x:f>IF(AND(AS6&gt;=$H16,AS6&lt;=$I16),IF(AS6&lt;=$H16+ROUND($J16*$L16,0)-1,2,1),"")</x:f>
      </x:c>
    </x:row>
    <x:row r="17" ht="34" customHeight="1">
      <x:c r="A17" s="74" t="str">
        <x:v>2.6</x:v>
      </x:c>
      <x:c r="B17" s="71" t="str">
        <x:v>权限与审批</x:v>
      </x:c>
      <x:c r="C17" s="71" t="str">
        <x:v>权限及越权回归测试</x:v>
      </x:c>
      <x:c r="D17" s="71" t="str">
        <x:v>形成角色/组织越权测试报告</x:v>
      </x:c>
      <x:c r="E17" s="71" t="str">
        <x:v>技术部</x:v>
      </x:c>
      <x:c r="F17" s="71" t="str">
        <x:v>任羲宸</x:v>
      </x:c>
      <x:c r="G17" s="71" t="str">
        <x:v>卢志悟</x:v>
      </x:c>
      <x:c r="H17" s="86" t="n">
        <x:v>46247</x:v>
      </x:c>
      <x:c r="I17" s="86" t="n">
        <x:v>46248</x:v>
      </x:c>
      <x:c r="J17" s="80" t="n">
        <x:f>I17-H17+1</x:f>
        <x:v>2</x:v>
      </x:c>
      <x:c r="K17" s="71" t="str">
        <x:v>2.5</x:v>
      </x:c>
      <x:c r="L17" s="89" t="n">
        <x:v>0</x:v>
      </x:c>
      <x:c r="M17" s="74" t="str">
        <x:v>高</x:v>
      </x:c>
      <x:c r="N17" s="74" t="str">
        <x:v>是</x:v>
      </x:c>
      <x:c r="O17" s="94" t="str">
        <x:f>IF(AND(O6&gt;=$H17,O6&lt;=$I17),IF(O6&lt;=$H17+ROUND($J17*$L17,0)-1,2,1),"")</x:f>
      </x:c>
      <x:c r="P17" s="94" t="str">
        <x:f>IF(AND(P6&gt;=$H17,P6&lt;=$I17),IF(P6&lt;=$H17+ROUND($J17*$L17,0)-1,2,1),"")</x:f>
      </x:c>
      <x:c r="Q17" s="94" t="str">
        <x:f>IF(AND(Q6&gt;=$H17,Q6&lt;=$I17),IF(Q6&lt;=$H17+ROUND($J17*$L17,0)-1,2,1),"")</x:f>
      </x:c>
      <x:c r="R17" s="94" t="str">
        <x:f>IF(AND(R6&gt;=$H17,R6&lt;=$I17),IF(R6&lt;=$H17+ROUND($J17*$L17,0)-1,2,1),"")</x:f>
      </x:c>
      <x:c r="S17" s="94" t="str">
        <x:f>IF(AND(S6&gt;=$H17,S6&lt;=$I17),IF(S6&lt;=$H17+ROUND($J17*$L17,0)-1,2,1),"")</x:f>
      </x:c>
      <x:c r="T17" s="94" t="str">
        <x:f>IF(AND(T6&gt;=$H17,T6&lt;=$I17),IF(T6&lt;=$H17+ROUND($J17*$L17,0)-1,2,1),"")</x:f>
      </x:c>
      <x:c r="U17" s="94" t="str">
        <x:f>IF(AND(U6&gt;=$H17,U6&lt;=$I17),IF(U6&lt;=$H17+ROUND($J17*$L17,0)-1,2,1),"")</x:f>
      </x:c>
      <x:c r="V17" s="94" t="str">
        <x:f>IF(AND(V6&gt;=$H17,V6&lt;=$I17),IF(V6&lt;=$H17+ROUND($J17*$L17,0)-1,2,1),"")</x:f>
      </x:c>
      <x:c r="W17" s="94" t="str">
        <x:f>IF(AND(W6&gt;=$H17,W6&lt;=$I17),IF(W6&lt;=$H17+ROUND($J17*$L17,0)-1,2,1),"")</x:f>
      </x:c>
      <x:c r="X17" s="94" t="str">
        <x:f>IF(AND(X6&gt;=$H17,X6&lt;=$I17),IF(X6&lt;=$H17+ROUND($J17*$L17,0)-1,2,1),"")</x:f>
      </x:c>
      <x:c r="Y17" s="94" t="n">
        <x:f>IF(AND(Y6&gt;=$H17,Y6&lt;=$I17),IF(Y6&lt;=$H17+ROUND($J17*$L17,0)-1,2,1),"")</x:f>
        <x:v>1</x:v>
      </x:c>
      <x:c r="Z17" s="94" t="n">
        <x:f>IF(AND(Z6&gt;=$H17,Z6&lt;=$I17),IF(Z6&lt;=$H17+ROUND($J17*$L17,0)-1,2,1),"")</x:f>
        <x:v>1</x:v>
      </x:c>
      <x:c r="AA17" s="94" t="str">
        <x:f>IF(AND(AA6&gt;=$H17,AA6&lt;=$I17),IF(AA6&lt;=$H17+ROUND($J17*$L17,0)-1,2,1),"")</x:f>
      </x:c>
      <x:c r="AB17" s="94" t="str">
        <x:f>IF(AND(AB6&gt;=$H17,AB6&lt;=$I17),IF(AB6&lt;=$H17+ROUND($J17*$L17,0)-1,2,1),"")</x:f>
      </x:c>
      <x:c r="AC17" s="94" t="str">
        <x:f>IF(AND(AC6&gt;=$H17,AC6&lt;=$I17),IF(AC6&lt;=$H17+ROUND($J17*$L17,0)-1,2,1),"")</x:f>
      </x:c>
      <x:c r="AD17" s="94" t="str">
        <x:f>IF(AND(AD6&gt;=$H17,AD6&lt;=$I17),IF(AD6&lt;=$H17+ROUND($J17*$L17,0)-1,2,1),"")</x:f>
      </x:c>
      <x:c r="AE17" s="94" t="str">
        <x:f>IF(AND(AE6&gt;=$H17,AE6&lt;=$I17),IF(AE6&lt;=$H17+ROUND($J17*$L17,0)-1,2,1),"")</x:f>
      </x:c>
      <x:c r="AF17" s="94" t="str">
        <x:f>IF(AND(AF6&gt;=$H17,AF6&lt;=$I17),IF(AF6&lt;=$H17+ROUND($J17*$L17,0)-1,2,1),"")</x:f>
      </x:c>
      <x:c r="AG17" s="94" t="str">
        <x:f>IF(AND(AG6&gt;=$H17,AG6&lt;=$I17),IF(AG6&lt;=$H17+ROUND($J17*$L17,0)-1,2,1),"")</x:f>
      </x:c>
      <x:c r="AH17" s="94" t="str">
        <x:f>IF(AND(AH6&gt;=$H17,AH6&lt;=$I17),IF(AH6&lt;=$H17+ROUND($J17*$L17,0)-1,2,1),"")</x:f>
      </x:c>
      <x:c r="AI17" s="94" t="str">
        <x:f>IF(AND(AI6&gt;=$H17,AI6&lt;=$I17),IF(AI6&lt;=$H17+ROUND($J17*$L17,0)-1,2,1),"")</x:f>
      </x:c>
      <x:c r="AJ17" s="94" t="str">
        <x:f>IF(AND(AJ6&gt;=$H17,AJ6&lt;=$I17),IF(AJ6&lt;=$H17+ROUND($J17*$L17,0)-1,2,1),"")</x:f>
      </x:c>
      <x:c r="AK17" s="94" t="str">
        <x:f>IF(AND(AK6&gt;=$H17,AK6&lt;=$I17),IF(AK6&lt;=$H17+ROUND($J17*$L17,0)-1,2,1),"")</x:f>
      </x:c>
      <x:c r="AL17" s="94" t="str">
        <x:f>IF(AND(AL6&gt;=$H17,AL6&lt;=$I17),IF(AL6&lt;=$H17+ROUND($J17*$L17,0)-1,2,1),"")</x:f>
      </x:c>
      <x:c r="AM17" s="94" t="str">
        <x:f>IF(AND(AM6&gt;=$H17,AM6&lt;=$I17),IF(AM6&lt;=$H17+ROUND($J17*$L17,0)-1,2,1),"")</x:f>
      </x:c>
      <x:c r="AN17" s="94" t="str">
        <x:f>IF(AND(AN6&gt;=$H17,AN6&lt;=$I17),IF(AN6&lt;=$H17+ROUND($J17*$L17,0)-1,2,1),"")</x:f>
      </x:c>
      <x:c r="AO17" s="94" t="str">
        <x:f>IF(AND(AO6&gt;=$H17,AO6&lt;=$I17),IF(AO6&lt;=$H17+ROUND($J17*$L17,0)-1,2,1),"")</x:f>
      </x:c>
      <x:c r="AP17" s="94" t="str">
        <x:f>IF(AND(AP6&gt;=$H17,AP6&lt;=$I17),IF(AP6&lt;=$H17+ROUND($J17*$L17,0)-1,2,1),"")</x:f>
      </x:c>
      <x:c r="AQ17" s="94" t="str">
        <x:f>IF(AND(AQ6&gt;=$H17,AQ6&lt;=$I17),IF(AQ6&lt;=$H17+ROUND($J17*$L17,0)-1,2,1),"")</x:f>
      </x:c>
      <x:c r="AR17" s="94" t="str">
        <x:f>IF(AND(AR6&gt;=$H17,AR6&lt;=$I17),IF(AR6&lt;=$H17+ROUND($J17*$L17,0)-1,2,1),"")</x:f>
      </x:c>
      <x:c r="AS17" s="94" t="str">
        <x:f>IF(AND(AS6&gt;=$H17,AS6&lt;=$I17),IF(AS6&lt;=$H17+ROUND($J17*$L17,0)-1,2,1),"")</x:f>
      </x:c>
    </x:row>
    <x:row r="18" ht="34" customHeight="1">
      <x:c r="A18" s="74" t="str">
        <x:v>3.1</x:v>
      </x:c>
      <x:c r="B18" s="71" t="str">
        <x:v>外部系统集成</x:v>
      </x:c>
      <x:c r="C18" s="71" t="str">
        <x:v>接口清单与数据契约确认</x:v>
      </x:c>
      <x:c r="D18" s="71" t="str">
        <x:v>OA、华溯之家、十方清源字段及事件清单</x:v>
      </x:c>
      <x:c r="E18" s="71" t="str">
        <x:v>技术部+外部系统方</x:v>
      </x:c>
      <x:c r="F18" s="71" t="str">
        <x:v>徐贵艳</x:v>
      </x:c>
      <x:c r="G18" s="71" t="str">
        <x:v>胡丹</x:v>
      </x:c>
      <x:c r="H18" s="86" t="n">
        <x:v>46238</x:v>
      </x:c>
      <x:c r="I18" s="86" t="n">
        <x:v>46240</x:v>
      </x:c>
      <x:c r="J18" s="80" t="n">
        <x:f>I18-H18+1</x:f>
        <x:v>3</x:v>
      </x:c>
      <x:c r="K18" s="71" t="str">
        <x:v>0.1</x:v>
      </x:c>
      <x:c r="L18" s="89" t="n">
        <x:v>0.2</x:v>
      </x:c>
      <x:c r="M18" s="74" t="str">
        <x:v>高</x:v>
      </x:c>
      <x:c r="N18" s="74" t="str">
        <x:v>是</x:v>
      </x:c>
      <x:c r="O18" s="94" t="str">
        <x:f>IF(AND(O6&gt;=$H18,O6&lt;=$I18),IF(O6&lt;=$H18+ROUND($J18*$L18,0)-1,2,1),"")</x:f>
      </x:c>
      <x:c r="P18" s="94" t="n">
        <x:f>IF(AND(P6&gt;=$H18,P6&lt;=$I18),IF(P6&lt;=$H18+ROUND($J18*$L18,0)-1,2,1),"")</x:f>
        <x:v>2</x:v>
      </x:c>
      <x:c r="Q18" s="94" t="n">
        <x:f>IF(AND(Q6&gt;=$H18,Q6&lt;=$I18),IF(Q6&lt;=$H18+ROUND($J18*$L18,0)-1,2,1),"")</x:f>
        <x:v>1</x:v>
      </x:c>
      <x:c r="R18" s="94" t="n">
        <x:f>IF(AND(R6&gt;=$H18,R6&lt;=$I18),IF(R6&lt;=$H18+ROUND($J18*$L18,0)-1,2,1),"")</x:f>
        <x:v>1</x:v>
      </x:c>
      <x:c r="S18" s="94" t="str">
        <x:f>IF(AND(S6&gt;=$H18,S6&lt;=$I18),IF(S6&lt;=$H18+ROUND($J18*$L18,0)-1,2,1),"")</x:f>
      </x:c>
      <x:c r="T18" s="94" t="str">
        <x:f>IF(AND(T6&gt;=$H18,T6&lt;=$I18),IF(T6&lt;=$H18+ROUND($J18*$L18,0)-1,2,1),"")</x:f>
      </x:c>
      <x:c r="U18" s="94" t="str">
        <x:f>IF(AND(U6&gt;=$H18,U6&lt;=$I18),IF(U6&lt;=$H18+ROUND($J18*$L18,0)-1,2,1),"")</x:f>
      </x:c>
      <x:c r="V18" s="94" t="str">
        <x:f>IF(AND(V6&gt;=$H18,V6&lt;=$I18),IF(V6&lt;=$H18+ROUND($J18*$L18,0)-1,2,1),"")</x:f>
      </x:c>
      <x:c r="W18" s="94" t="str">
        <x:f>IF(AND(W6&gt;=$H18,W6&lt;=$I18),IF(W6&lt;=$H18+ROUND($J18*$L18,0)-1,2,1),"")</x:f>
      </x:c>
      <x:c r="X18" s="94" t="str">
        <x:f>IF(AND(X6&gt;=$H18,X6&lt;=$I18),IF(X6&lt;=$H18+ROUND($J18*$L18,0)-1,2,1),"")</x:f>
      </x:c>
      <x:c r="Y18" s="94" t="str">
        <x:f>IF(AND(Y6&gt;=$H18,Y6&lt;=$I18),IF(Y6&lt;=$H18+ROUND($J18*$L18,0)-1,2,1),"")</x:f>
      </x:c>
      <x:c r="Z18" s="94" t="str">
        <x:f>IF(AND(Z6&gt;=$H18,Z6&lt;=$I18),IF(Z6&lt;=$H18+ROUND($J18*$L18,0)-1,2,1),"")</x:f>
      </x:c>
      <x:c r="AA18" s="94" t="str">
        <x:f>IF(AND(AA6&gt;=$H18,AA6&lt;=$I18),IF(AA6&lt;=$H18+ROUND($J18*$L18,0)-1,2,1),"")</x:f>
      </x:c>
      <x:c r="AB18" s="94" t="str">
        <x:f>IF(AND(AB6&gt;=$H18,AB6&lt;=$I18),IF(AB6&lt;=$H18+ROUND($J18*$L18,0)-1,2,1),"")</x:f>
      </x:c>
      <x:c r="AC18" s="94" t="str">
        <x:f>IF(AND(AC6&gt;=$H18,AC6&lt;=$I18),IF(AC6&lt;=$H18+ROUND($J18*$L18,0)-1,2,1),"")</x:f>
      </x:c>
      <x:c r="AD18" s="94" t="str">
        <x:f>IF(AND(AD6&gt;=$H18,AD6&lt;=$I18),IF(AD6&lt;=$H18+ROUND($J18*$L18,0)-1,2,1),"")</x:f>
      </x:c>
      <x:c r="AE18" s="94" t="str">
        <x:f>IF(AND(AE6&gt;=$H18,AE6&lt;=$I18),IF(AE6&lt;=$H18+ROUND($J18*$L18,0)-1,2,1),"")</x:f>
      </x:c>
      <x:c r="AF18" s="94" t="str">
        <x:f>IF(AND(AF6&gt;=$H18,AF6&lt;=$I18),IF(AF6&lt;=$H18+ROUND($J18*$L18,0)-1,2,1),"")</x:f>
      </x:c>
      <x:c r="AG18" s="94" t="str">
        <x:f>IF(AND(AG6&gt;=$H18,AG6&lt;=$I18),IF(AG6&lt;=$H18+ROUND($J18*$L18,0)-1,2,1),"")</x:f>
      </x:c>
      <x:c r="AH18" s="94" t="str">
        <x:f>IF(AND(AH6&gt;=$H18,AH6&lt;=$I18),IF(AH6&lt;=$H18+ROUND($J18*$L18,0)-1,2,1),"")</x:f>
      </x:c>
      <x:c r="AI18" s="94" t="str">
        <x:f>IF(AND(AI6&gt;=$H18,AI6&lt;=$I18),IF(AI6&lt;=$H18+ROUND($J18*$L18,0)-1,2,1),"")</x:f>
      </x:c>
      <x:c r="AJ18" s="94" t="str">
        <x:f>IF(AND(AJ6&gt;=$H18,AJ6&lt;=$I18),IF(AJ6&lt;=$H18+ROUND($J18*$L18,0)-1,2,1),"")</x:f>
      </x:c>
      <x:c r="AK18" s="94" t="str">
        <x:f>IF(AND(AK6&gt;=$H18,AK6&lt;=$I18),IF(AK6&lt;=$H18+ROUND($J18*$L18,0)-1,2,1),"")</x:f>
      </x:c>
      <x:c r="AL18" s="94" t="str">
        <x:f>IF(AND(AL6&gt;=$H18,AL6&lt;=$I18),IF(AL6&lt;=$H18+ROUND($J18*$L18,0)-1,2,1),"")</x:f>
      </x:c>
      <x:c r="AM18" s="94" t="str">
        <x:f>IF(AND(AM6&gt;=$H18,AM6&lt;=$I18),IF(AM6&lt;=$H18+ROUND($J18*$L18,0)-1,2,1),"")</x:f>
      </x:c>
      <x:c r="AN18" s="94" t="str">
        <x:f>IF(AND(AN6&gt;=$H18,AN6&lt;=$I18),IF(AN6&lt;=$H18+ROUND($J18*$L18,0)-1,2,1),"")</x:f>
      </x:c>
      <x:c r="AO18" s="94" t="str">
        <x:f>IF(AND(AO6&gt;=$H18,AO6&lt;=$I18),IF(AO6&lt;=$H18+ROUND($J18*$L18,0)-1,2,1),"")</x:f>
      </x:c>
      <x:c r="AP18" s="94" t="str">
        <x:f>IF(AND(AP6&gt;=$H18,AP6&lt;=$I18),IF(AP6&lt;=$H18+ROUND($J18*$L18,0)-1,2,1),"")</x:f>
      </x:c>
      <x:c r="AQ18" s="94" t="str">
        <x:f>IF(AND(AQ6&gt;=$H18,AQ6&lt;=$I18),IF(AQ6&lt;=$H18+ROUND($J18*$L18,0)-1,2,1),"")</x:f>
      </x:c>
      <x:c r="AR18" s="94" t="str">
        <x:f>IF(AND(AR6&gt;=$H18,AR6&lt;=$I18),IF(AR6&lt;=$H18+ROUND($J18*$L18,0)-1,2,1),"")</x:f>
      </x:c>
      <x:c r="AS18" s="94" t="str">
        <x:f>IF(AND(AS6&gt;=$H18,AS6&lt;=$I18),IF(AS6&lt;=$H18+ROUND($J18*$L18,0)-1,2,1),"")</x:f>
      </x:c>
    </x:row>
    <x:row r="19" ht="34" customHeight="1">
      <x:c r="A19" s="74" t="str">
        <x:v>3.2</x:v>
      </x:c>
      <x:c r="B19" s="71" t="str">
        <x:v>外部系统集成</x:v>
      </x:c>
      <x:c r="C19" s="71" t="str">
        <x:v>统一鉴权、日志与幂等框架</x:v>
      </x:c>
      <x:c r="D19" s="71" t="str">
        <x:v>公共接口框架及联调日志</x:v>
      </x:c>
      <x:c r="E19" s="71" t="str">
        <x:v>技术部</x:v>
      </x:c>
      <x:c r="F19" s="71" t="str">
        <x:v>徐贵艳</x:v>
      </x:c>
      <x:c r="G19" s="71" t="str">
        <x:v>胡丹</x:v>
      </x:c>
      <x:c r="H19" s="86" t="n">
        <x:v>46239</x:v>
      </x:c>
      <x:c r="I19" s="86" t="n">
        <x:v>46242</x:v>
      </x:c>
      <x:c r="J19" s="80" t="n">
        <x:f>I19-H19+1</x:f>
        <x:v>4</x:v>
      </x:c>
      <x:c r="K19" s="71" t="str">
        <x:v>3.1</x:v>
      </x:c>
      <x:c r="L19" s="89" t="n">
        <x:v>0</x:v>
      </x:c>
      <x:c r="M19" s="74" t="str">
        <x:v>高</x:v>
      </x:c>
      <x:c r="N19" s="74" t="str">
        <x:v>是</x:v>
      </x:c>
      <x:c r="O19" s="94" t="str">
        <x:f>IF(AND(O6&gt;=$H19,O6&lt;=$I19),IF(O6&lt;=$H19+ROUND($J19*$L19,0)-1,2,1),"")</x:f>
      </x:c>
      <x:c r="P19" s="94" t="str">
        <x:f>IF(AND(P6&gt;=$H19,P6&lt;=$I19),IF(P6&lt;=$H19+ROUND($J19*$L19,0)-1,2,1),"")</x:f>
      </x:c>
      <x:c r="Q19" s="94" t="n">
        <x:f>IF(AND(Q6&gt;=$H19,Q6&lt;=$I19),IF(Q6&lt;=$H19+ROUND($J19*$L19,0)-1,2,1),"")</x:f>
        <x:v>1</x:v>
      </x:c>
      <x:c r="R19" s="94" t="n">
        <x:f>IF(AND(R6&gt;=$H19,R6&lt;=$I19),IF(R6&lt;=$H19+ROUND($J19*$L19,0)-1,2,1),"")</x:f>
        <x:v>1</x:v>
      </x:c>
      <x:c r="S19" s="94" t="n">
        <x:f>IF(AND(S6&gt;=$H19,S6&lt;=$I19),IF(S6&lt;=$H19+ROUND($J19*$L19,0)-1,2,1),"")</x:f>
        <x:v>1</x:v>
      </x:c>
      <x:c r="T19" s="94" t="n">
        <x:f>IF(AND(T6&gt;=$H19,T6&lt;=$I19),IF(T6&lt;=$H19+ROUND($J19*$L19,0)-1,2,1),"")</x:f>
        <x:v>1</x:v>
      </x:c>
      <x:c r="U19" s="94" t="str">
        <x:f>IF(AND(U6&gt;=$H19,U6&lt;=$I19),IF(U6&lt;=$H19+ROUND($J19*$L19,0)-1,2,1),"")</x:f>
      </x:c>
      <x:c r="V19" s="94" t="str">
        <x:f>IF(AND(V6&gt;=$H19,V6&lt;=$I19),IF(V6&lt;=$H19+ROUND($J19*$L19,0)-1,2,1),"")</x:f>
      </x:c>
      <x:c r="W19" s="94" t="str">
        <x:f>IF(AND(W6&gt;=$H19,W6&lt;=$I19),IF(W6&lt;=$H19+ROUND($J19*$L19,0)-1,2,1),"")</x:f>
      </x:c>
      <x:c r="X19" s="94" t="str">
        <x:f>IF(AND(X6&gt;=$H19,X6&lt;=$I19),IF(X6&lt;=$H19+ROUND($J19*$L19,0)-1,2,1),"")</x:f>
      </x:c>
      <x:c r="Y19" s="94" t="str">
        <x:f>IF(AND(Y6&gt;=$H19,Y6&lt;=$I19),IF(Y6&lt;=$H19+ROUND($J19*$L19,0)-1,2,1),"")</x:f>
      </x:c>
      <x:c r="Z19" s="94" t="str">
        <x:f>IF(AND(Z6&gt;=$H19,Z6&lt;=$I19),IF(Z6&lt;=$H19+ROUND($J19*$L19,0)-1,2,1),"")</x:f>
      </x:c>
      <x:c r="AA19" s="94" t="str">
        <x:f>IF(AND(AA6&gt;=$H19,AA6&lt;=$I19),IF(AA6&lt;=$H19+ROUND($J19*$L19,0)-1,2,1),"")</x:f>
      </x:c>
      <x:c r="AB19" s="94" t="str">
        <x:f>IF(AND(AB6&gt;=$H19,AB6&lt;=$I19),IF(AB6&lt;=$H19+ROUND($J19*$L19,0)-1,2,1),"")</x:f>
      </x:c>
      <x:c r="AC19" s="94" t="str">
        <x:f>IF(AND(AC6&gt;=$H19,AC6&lt;=$I19),IF(AC6&lt;=$H19+ROUND($J19*$L19,0)-1,2,1),"")</x:f>
      </x:c>
      <x:c r="AD19" s="94" t="str">
        <x:f>IF(AND(AD6&gt;=$H19,AD6&lt;=$I19),IF(AD6&lt;=$H19+ROUND($J19*$L19,0)-1,2,1),"")</x:f>
      </x:c>
      <x:c r="AE19" s="94" t="str">
        <x:f>IF(AND(AE6&gt;=$H19,AE6&lt;=$I19),IF(AE6&lt;=$H19+ROUND($J19*$L19,0)-1,2,1),"")</x:f>
      </x:c>
      <x:c r="AF19" s="94" t="str">
        <x:f>IF(AND(AF6&gt;=$H19,AF6&lt;=$I19),IF(AF6&lt;=$H19+ROUND($J19*$L19,0)-1,2,1),"")</x:f>
      </x:c>
      <x:c r="AG19" s="94" t="str">
        <x:f>IF(AND(AG6&gt;=$H19,AG6&lt;=$I19),IF(AG6&lt;=$H19+ROUND($J19*$L19,0)-1,2,1),"")</x:f>
      </x:c>
      <x:c r="AH19" s="94" t="str">
        <x:f>IF(AND(AH6&gt;=$H19,AH6&lt;=$I19),IF(AH6&lt;=$H19+ROUND($J19*$L19,0)-1,2,1),"")</x:f>
      </x:c>
      <x:c r="AI19" s="94" t="str">
        <x:f>IF(AND(AI6&gt;=$H19,AI6&lt;=$I19),IF(AI6&lt;=$H19+ROUND($J19*$L19,0)-1,2,1),"")</x:f>
      </x:c>
      <x:c r="AJ19" s="94" t="str">
        <x:f>IF(AND(AJ6&gt;=$H19,AJ6&lt;=$I19),IF(AJ6&lt;=$H19+ROUND($J19*$L19,0)-1,2,1),"")</x:f>
      </x:c>
      <x:c r="AK19" s="94" t="str">
        <x:f>IF(AND(AK6&gt;=$H19,AK6&lt;=$I19),IF(AK6&lt;=$H19+ROUND($J19*$L19,0)-1,2,1),"")</x:f>
      </x:c>
      <x:c r="AL19" s="94" t="str">
        <x:f>IF(AND(AL6&gt;=$H19,AL6&lt;=$I19),IF(AL6&lt;=$H19+ROUND($J19*$L19,0)-1,2,1),"")</x:f>
      </x:c>
      <x:c r="AM19" s="94" t="str">
        <x:f>IF(AND(AM6&gt;=$H19,AM6&lt;=$I19),IF(AM6&lt;=$H19+ROUND($J19*$L19,0)-1,2,1),"")</x:f>
      </x:c>
      <x:c r="AN19" s="94" t="str">
        <x:f>IF(AND(AN6&gt;=$H19,AN6&lt;=$I19),IF(AN6&lt;=$H19+ROUND($J19*$L19,0)-1,2,1),"")</x:f>
      </x:c>
      <x:c r="AO19" s="94" t="str">
        <x:f>IF(AND(AO6&gt;=$H19,AO6&lt;=$I19),IF(AO6&lt;=$H19+ROUND($J19*$L19,0)-1,2,1),"")</x:f>
      </x:c>
      <x:c r="AP19" s="94" t="str">
        <x:f>IF(AND(AP6&gt;=$H19,AP6&lt;=$I19),IF(AP6&lt;=$H19+ROUND($J19*$L19,0)-1,2,1),"")</x:f>
      </x:c>
      <x:c r="AQ19" s="94" t="str">
        <x:f>IF(AND(AQ6&gt;=$H19,AQ6&lt;=$I19),IF(AQ6&lt;=$H19+ROUND($J19*$L19,0)-1,2,1),"")</x:f>
      </x:c>
      <x:c r="AR19" s="94" t="str">
        <x:f>IF(AND(AR6&gt;=$H19,AR6&lt;=$I19),IF(AR6&lt;=$H19+ROUND($J19*$L19,0)-1,2,1),"")</x:f>
      </x:c>
      <x:c r="AS19" s="94" t="str">
        <x:f>IF(AND(AS6&gt;=$H19,AS6&lt;=$I19),IF(AS6&lt;=$H19+ROUND($J19*$L19,0)-1,2,1),"")</x:f>
      </x:c>
    </x:row>
    <x:row r="20" ht="34" customHeight="1">
      <x:c r="A20" s="74" t="str">
        <x:v>3.3</x:v>
      </x:c>
      <x:c r="B20" s="71" t="str">
        <x:v>外部系统集成</x:v>
      </x:c>
      <x:c r="C20" s="71" t="str">
        <x:v>OA 系统接口开发与联调</x:v>
      </x:c>
      <x:c r="D20" s="71" t="str">
        <x:v>组织、人员、审批结果可同步</x:v>
      </x:c>
      <x:c r="E20" s="71" t="str">
        <x:v>技术部+OA系统方</x:v>
      </x:c>
      <x:c r="F20" s="71" t="str">
        <x:v>徐贵艳</x:v>
      </x:c>
      <x:c r="G20" s="71" t="str">
        <x:v>胡丹</x:v>
      </x:c>
      <x:c r="H20" s="86" t="n">
        <x:v>46241</x:v>
      </x:c>
      <x:c r="I20" s="86" t="n">
        <x:v>46245</x:v>
      </x:c>
      <x:c r="J20" s="80" t="n">
        <x:f>I20-H20+1</x:f>
        <x:v>5</x:v>
      </x:c>
      <x:c r="K20" s="71" t="str">
        <x:v>3.1,3.2</x:v>
      </x:c>
      <x:c r="L20" s="89" t="n">
        <x:v>0</x:v>
      </x:c>
      <x:c r="M20" s="74" t="str">
        <x:v>高</x:v>
      </x:c>
      <x:c r="N20" s="74" t="str">
        <x:v>是</x:v>
      </x:c>
      <x:c r="O20" s="94" t="str">
        <x:f>IF(AND(O6&gt;=$H20,O6&lt;=$I20),IF(O6&lt;=$H20+ROUND($J20*$L20,0)-1,2,1),"")</x:f>
      </x:c>
      <x:c r="P20" s="94" t="str">
        <x:f>IF(AND(P6&gt;=$H20,P6&lt;=$I20),IF(P6&lt;=$H20+ROUND($J20*$L20,0)-1,2,1),"")</x:f>
      </x:c>
      <x:c r="Q20" s="94" t="str">
        <x:f>IF(AND(Q6&gt;=$H20,Q6&lt;=$I20),IF(Q6&lt;=$H20+ROUND($J20*$L20,0)-1,2,1),"")</x:f>
      </x:c>
      <x:c r="R20" s="94" t="str">
        <x:f>IF(AND(R6&gt;=$H20,R6&lt;=$I20),IF(R6&lt;=$H20+ROUND($J20*$L20,0)-1,2,1),"")</x:f>
      </x:c>
      <x:c r="S20" s="94" t="n">
        <x:f>IF(AND(S6&gt;=$H20,S6&lt;=$I20),IF(S6&lt;=$H20+ROUND($J20*$L20,0)-1,2,1),"")</x:f>
        <x:v>1</x:v>
      </x:c>
      <x:c r="T20" s="94" t="n">
        <x:f>IF(AND(T6&gt;=$H20,T6&lt;=$I20),IF(T6&lt;=$H20+ROUND($J20*$L20,0)-1,2,1),"")</x:f>
        <x:v>1</x:v>
      </x:c>
      <x:c r="U20" s="94" t="n">
        <x:f>IF(AND(U6&gt;=$H20,U6&lt;=$I20),IF(U6&lt;=$H20+ROUND($J20*$L20,0)-1,2,1),"")</x:f>
        <x:v>1</x:v>
      </x:c>
      <x:c r="V20" s="94" t="n">
        <x:f>IF(AND(V6&gt;=$H20,V6&lt;=$I20),IF(V6&lt;=$H20+ROUND($J20*$L20,0)-1,2,1),"")</x:f>
        <x:v>1</x:v>
      </x:c>
      <x:c r="W20" s="94" t="n">
        <x:f>IF(AND(W6&gt;=$H20,W6&lt;=$I20),IF(W6&lt;=$H20+ROUND($J20*$L20,0)-1,2,1),"")</x:f>
        <x:v>1</x:v>
      </x:c>
      <x:c r="X20" s="94" t="str">
        <x:f>IF(AND(X6&gt;=$H20,X6&lt;=$I20),IF(X6&lt;=$H20+ROUND($J20*$L20,0)-1,2,1),"")</x:f>
      </x:c>
      <x:c r="Y20" s="94" t="str">
        <x:f>IF(AND(Y6&gt;=$H20,Y6&lt;=$I20),IF(Y6&lt;=$H20+ROUND($J20*$L20,0)-1,2,1),"")</x:f>
      </x:c>
      <x:c r="Z20" s="94" t="str">
        <x:f>IF(AND(Z6&gt;=$H20,Z6&lt;=$I20),IF(Z6&lt;=$H20+ROUND($J20*$L20,0)-1,2,1),"")</x:f>
      </x:c>
      <x:c r="AA20" s="94" t="str">
        <x:f>IF(AND(AA6&gt;=$H20,AA6&lt;=$I20),IF(AA6&lt;=$H20+ROUND($J20*$L20,0)-1,2,1),"")</x:f>
      </x:c>
      <x:c r="AB20" s="94" t="str">
        <x:f>IF(AND(AB6&gt;=$H20,AB6&lt;=$I20),IF(AB6&lt;=$H20+ROUND($J20*$L20,0)-1,2,1),"")</x:f>
      </x:c>
      <x:c r="AC20" s="94" t="str">
        <x:f>IF(AND(AC6&gt;=$H20,AC6&lt;=$I20),IF(AC6&lt;=$H20+ROUND($J20*$L20,0)-1,2,1),"")</x:f>
      </x:c>
      <x:c r="AD20" s="94" t="str">
        <x:f>IF(AND(AD6&gt;=$H20,AD6&lt;=$I20),IF(AD6&lt;=$H20+ROUND($J20*$L20,0)-1,2,1),"")</x:f>
      </x:c>
      <x:c r="AE20" s="94" t="str">
        <x:f>IF(AND(AE6&gt;=$H20,AE6&lt;=$I20),IF(AE6&lt;=$H20+ROUND($J20*$L20,0)-1,2,1),"")</x:f>
      </x:c>
      <x:c r="AF20" s="94" t="str">
        <x:f>IF(AND(AF6&gt;=$H20,AF6&lt;=$I20),IF(AF6&lt;=$H20+ROUND($J20*$L20,0)-1,2,1),"")</x:f>
      </x:c>
      <x:c r="AG20" s="94" t="str">
        <x:f>IF(AND(AG6&gt;=$H20,AG6&lt;=$I20),IF(AG6&lt;=$H20+ROUND($J20*$L20,0)-1,2,1),"")</x:f>
      </x:c>
      <x:c r="AH20" s="94" t="str">
        <x:f>IF(AND(AH6&gt;=$H20,AH6&lt;=$I20),IF(AH6&lt;=$H20+ROUND($J20*$L20,0)-1,2,1),"")</x:f>
      </x:c>
      <x:c r="AI20" s="94" t="str">
        <x:f>IF(AND(AI6&gt;=$H20,AI6&lt;=$I20),IF(AI6&lt;=$H20+ROUND($J20*$L20,0)-1,2,1),"")</x:f>
      </x:c>
      <x:c r="AJ20" s="94" t="str">
        <x:f>IF(AND(AJ6&gt;=$H20,AJ6&lt;=$I20),IF(AJ6&lt;=$H20+ROUND($J20*$L20,0)-1,2,1),"")</x:f>
      </x:c>
      <x:c r="AK20" s="94" t="str">
        <x:f>IF(AND(AK6&gt;=$H20,AK6&lt;=$I20),IF(AK6&lt;=$H20+ROUND($J20*$L20,0)-1,2,1),"")</x:f>
      </x:c>
      <x:c r="AL20" s="94" t="str">
        <x:f>IF(AND(AL6&gt;=$H20,AL6&lt;=$I20),IF(AL6&lt;=$H20+ROUND($J20*$L20,0)-1,2,1),"")</x:f>
      </x:c>
      <x:c r="AM20" s="94" t="str">
        <x:f>IF(AND(AM6&gt;=$H20,AM6&lt;=$I20),IF(AM6&lt;=$H20+ROUND($J20*$L20,0)-1,2,1),"")</x:f>
      </x:c>
      <x:c r="AN20" s="94" t="str">
        <x:f>IF(AND(AN6&gt;=$H20,AN6&lt;=$I20),IF(AN6&lt;=$H20+ROUND($J20*$L20,0)-1,2,1),"")</x:f>
      </x:c>
      <x:c r="AO20" s="94" t="str">
        <x:f>IF(AND(AO6&gt;=$H20,AO6&lt;=$I20),IF(AO6&lt;=$H20+ROUND($J20*$L20,0)-1,2,1),"")</x:f>
      </x:c>
      <x:c r="AP20" s="94" t="str">
        <x:f>IF(AND(AP6&gt;=$H20,AP6&lt;=$I20),IF(AP6&lt;=$H20+ROUND($J20*$L20,0)-1,2,1),"")</x:f>
      </x:c>
      <x:c r="AQ20" s="94" t="str">
        <x:f>IF(AND(AQ6&gt;=$H20,AQ6&lt;=$I20),IF(AQ6&lt;=$H20+ROUND($J20*$L20,0)-1,2,1),"")</x:f>
      </x:c>
      <x:c r="AR20" s="94" t="str">
        <x:f>IF(AND(AR6&gt;=$H20,AR6&lt;=$I20),IF(AR6&lt;=$H20+ROUND($J20*$L20,0)-1,2,1),"")</x:f>
      </x:c>
      <x:c r="AS20" s="94" t="str">
        <x:f>IF(AND(AS6&gt;=$H20,AS6&lt;=$I20),IF(AS6&lt;=$H20+ROUND($J20*$L20,0)-1,2,1),"")</x:f>
      </x:c>
    </x:row>
    <x:row r="21" ht="34" customHeight="1">
      <x:c r="A21" s="74" t="str">
        <x:v>3.4</x:v>
      </x:c>
      <x:c r="B21" s="71" t="str">
        <x:v>外部系统集成</x:v>
      </x:c>
      <x:c r="C21" s="71" t="str">
        <x:v>华溯之家接口开发与联调</x:v>
      </x:c>
      <x:c r="D21" s="71" t="str">
        <x:v>约定业务数据可稳定交换</x:v>
      </x:c>
      <x:c r="E21" s="71" t="str">
        <x:v>技术部+华溯之家</x:v>
      </x:c>
      <x:c r="F21" s="71" t="str">
        <x:v>徐贵艳</x:v>
      </x:c>
      <x:c r="G21" s="71" t="str">
        <x:v>胡丹</x:v>
      </x:c>
      <x:c r="H21" s="86" t="n">
        <x:v>46242</x:v>
      </x:c>
      <x:c r="I21" s="86" t="n">
        <x:v>46246</x:v>
      </x:c>
      <x:c r="J21" s="80" t="n">
        <x:f>I21-H21+1</x:f>
        <x:v>5</x:v>
      </x:c>
      <x:c r="K21" s="71" t="str">
        <x:v>3.1,3.2</x:v>
      </x:c>
      <x:c r="L21" s="89" t="n">
        <x:v>0</x:v>
      </x:c>
      <x:c r="M21" s="74" t="str">
        <x:v>高</x:v>
      </x:c>
      <x:c r="N21" s="74" t="str">
        <x:v>是</x:v>
      </x:c>
      <x:c r="O21" s="94" t="str">
        <x:f>IF(AND(O6&gt;=$H21,O6&lt;=$I21),IF(O6&lt;=$H21+ROUND($J21*$L21,0)-1,2,1),"")</x:f>
      </x:c>
      <x:c r="P21" s="94" t="str">
        <x:f>IF(AND(P6&gt;=$H21,P6&lt;=$I21),IF(P6&lt;=$H21+ROUND($J21*$L21,0)-1,2,1),"")</x:f>
      </x:c>
      <x:c r="Q21" s="94" t="str">
        <x:f>IF(AND(Q6&gt;=$H21,Q6&lt;=$I21),IF(Q6&lt;=$H21+ROUND($J21*$L21,0)-1,2,1),"")</x:f>
      </x:c>
      <x:c r="R21" s="94" t="str">
        <x:f>IF(AND(R6&gt;=$H21,R6&lt;=$I21),IF(R6&lt;=$H21+ROUND($J21*$L21,0)-1,2,1),"")</x:f>
      </x:c>
      <x:c r="S21" s="94" t="str">
        <x:f>IF(AND(S6&gt;=$H21,S6&lt;=$I21),IF(S6&lt;=$H21+ROUND($J21*$L21,0)-1,2,1),"")</x:f>
      </x:c>
      <x:c r="T21" s="94" t="n">
        <x:f>IF(AND(T6&gt;=$H21,T6&lt;=$I21),IF(T6&lt;=$H21+ROUND($J21*$L21,0)-1,2,1),"")</x:f>
        <x:v>1</x:v>
      </x:c>
      <x:c r="U21" s="94" t="n">
        <x:f>IF(AND(U6&gt;=$H21,U6&lt;=$I21),IF(U6&lt;=$H21+ROUND($J21*$L21,0)-1,2,1),"")</x:f>
        <x:v>1</x:v>
      </x:c>
      <x:c r="V21" s="94" t="n">
        <x:f>IF(AND(V6&gt;=$H21,V6&lt;=$I21),IF(V6&lt;=$H21+ROUND($J21*$L21,0)-1,2,1),"")</x:f>
        <x:v>1</x:v>
      </x:c>
      <x:c r="W21" s="94" t="n">
        <x:f>IF(AND(W6&gt;=$H21,W6&lt;=$I21),IF(W6&lt;=$H21+ROUND($J21*$L21,0)-1,2,1),"")</x:f>
        <x:v>1</x:v>
      </x:c>
      <x:c r="X21" s="94" t="n">
        <x:f>IF(AND(X6&gt;=$H21,X6&lt;=$I21),IF(X6&lt;=$H21+ROUND($J21*$L21,0)-1,2,1),"")</x:f>
        <x:v>1</x:v>
      </x:c>
      <x:c r="Y21" s="94" t="str">
        <x:f>IF(AND(Y6&gt;=$H21,Y6&lt;=$I21),IF(Y6&lt;=$H21+ROUND($J21*$L21,0)-1,2,1),"")</x:f>
      </x:c>
      <x:c r="Z21" s="94" t="str">
        <x:f>IF(AND(Z6&gt;=$H21,Z6&lt;=$I21),IF(Z6&lt;=$H21+ROUND($J21*$L21,0)-1,2,1),"")</x:f>
      </x:c>
      <x:c r="AA21" s="94" t="str">
        <x:f>IF(AND(AA6&gt;=$H21,AA6&lt;=$I21),IF(AA6&lt;=$H21+ROUND($J21*$L21,0)-1,2,1),"")</x:f>
      </x:c>
      <x:c r="AB21" s="94" t="str">
        <x:f>IF(AND(AB6&gt;=$H21,AB6&lt;=$I21),IF(AB6&lt;=$H21+ROUND($J21*$L21,0)-1,2,1),"")</x:f>
      </x:c>
      <x:c r="AC21" s="94" t="str">
        <x:f>IF(AND(AC6&gt;=$H21,AC6&lt;=$I21),IF(AC6&lt;=$H21+ROUND($J21*$L21,0)-1,2,1),"")</x:f>
      </x:c>
      <x:c r="AD21" s="94" t="str">
        <x:f>IF(AND(AD6&gt;=$H21,AD6&lt;=$I21),IF(AD6&lt;=$H21+ROUND($J21*$L21,0)-1,2,1),"")</x:f>
      </x:c>
      <x:c r="AE21" s="94" t="str">
        <x:f>IF(AND(AE6&gt;=$H21,AE6&lt;=$I21),IF(AE6&lt;=$H21+ROUND($J21*$L21,0)-1,2,1),"")</x:f>
      </x:c>
      <x:c r="AF21" s="94" t="str">
        <x:f>IF(AND(AF6&gt;=$H21,AF6&lt;=$I21),IF(AF6&lt;=$H21+ROUND($J21*$L21,0)-1,2,1),"")</x:f>
      </x:c>
      <x:c r="AG21" s="94" t="str">
        <x:f>IF(AND(AG6&gt;=$H21,AG6&lt;=$I21),IF(AG6&lt;=$H21+ROUND($J21*$L21,0)-1,2,1),"")</x:f>
      </x:c>
      <x:c r="AH21" s="94" t="str">
        <x:f>IF(AND(AH6&gt;=$H21,AH6&lt;=$I21),IF(AH6&lt;=$H21+ROUND($J21*$L21,0)-1,2,1),"")</x:f>
      </x:c>
      <x:c r="AI21" s="94" t="str">
        <x:f>IF(AND(AI6&gt;=$H21,AI6&lt;=$I21),IF(AI6&lt;=$H21+ROUND($J21*$L21,0)-1,2,1),"")</x:f>
      </x:c>
      <x:c r="AJ21" s="94" t="str">
        <x:f>IF(AND(AJ6&gt;=$H21,AJ6&lt;=$I21),IF(AJ6&lt;=$H21+ROUND($J21*$L21,0)-1,2,1),"")</x:f>
      </x:c>
      <x:c r="AK21" s="94" t="str">
        <x:f>IF(AND(AK6&gt;=$H21,AK6&lt;=$I21),IF(AK6&lt;=$H21+ROUND($J21*$L21,0)-1,2,1),"")</x:f>
      </x:c>
      <x:c r="AL21" s="94" t="str">
        <x:f>IF(AND(AL6&gt;=$H21,AL6&lt;=$I21),IF(AL6&lt;=$H21+ROUND($J21*$L21,0)-1,2,1),"")</x:f>
      </x:c>
      <x:c r="AM21" s="94" t="str">
        <x:f>IF(AND(AM6&gt;=$H21,AM6&lt;=$I21),IF(AM6&lt;=$H21+ROUND($J21*$L21,0)-1,2,1),"")</x:f>
      </x:c>
      <x:c r="AN21" s="94" t="str">
        <x:f>IF(AND(AN6&gt;=$H21,AN6&lt;=$I21),IF(AN6&lt;=$H21+ROUND($J21*$L21,0)-1,2,1),"")</x:f>
      </x:c>
      <x:c r="AO21" s="94" t="str">
        <x:f>IF(AND(AO6&gt;=$H21,AO6&lt;=$I21),IF(AO6&lt;=$H21+ROUND($J21*$L21,0)-1,2,1),"")</x:f>
      </x:c>
      <x:c r="AP21" s="94" t="str">
        <x:f>IF(AND(AP6&gt;=$H21,AP6&lt;=$I21),IF(AP6&lt;=$H21+ROUND($J21*$L21,0)-1,2,1),"")</x:f>
      </x:c>
      <x:c r="AQ21" s="94" t="str">
        <x:f>IF(AND(AQ6&gt;=$H21,AQ6&lt;=$I21),IF(AQ6&lt;=$H21+ROUND($J21*$L21,0)-1,2,1),"")</x:f>
      </x:c>
      <x:c r="AR21" s="94" t="str">
        <x:f>IF(AND(AR6&gt;=$H21,AR6&lt;=$I21),IF(AR6&lt;=$H21+ROUND($J21*$L21,0)-1,2,1),"")</x:f>
      </x:c>
      <x:c r="AS21" s="94" t="str">
        <x:f>IF(AND(AS6&gt;=$H21,AS6&lt;=$I21),IF(AS6&lt;=$H21+ROUND($J21*$L21,0)-1,2,1),"")</x:f>
      </x:c>
    </x:row>
    <x:row r="22" ht="34" customHeight="1">
      <x:c r="A22" s="74" t="str">
        <x:v>3.5</x:v>
      </x:c>
      <x:c r="B22" s="71" t="str">
        <x:v>外部系统集成</x:v>
      </x:c>
      <x:c r="C22" s="71" t="str">
        <x:v>十方清源接口开发与联调</x:v>
      </x:c>
      <x:c r="D22" s="71" t="str">
        <x:v>约定业务数据可稳定交换</x:v>
      </x:c>
      <x:c r="E22" s="71" t="str">
        <x:v>技术部+十方清源</x:v>
      </x:c>
      <x:c r="F22" s="71" t="str">
        <x:v>徐贵艳</x:v>
      </x:c>
      <x:c r="G22" s="71" t="str">
        <x:v>胡丹</x:v>
      </x:c>
      <x:c r="H22" s="86" t="n">
        <x:v>46244</x:v>
      </x:c>
      <x:c r="I22" s="86" t="n">
        <x:v>46248</x:v>
      </x:c>
      <x:c r="J22" s="80" t="n">
        <x:f>I22-H22+1</x:f>
        <x:v>5</x:v>
      </x:c>
      <x:c r="K22" s="71" t="str">
        <x:v>3.1,3.2</x:v>
      </x:c>
      <x:c r="L22" s="89" t="n">
        <x:v>0</x:v>
      </x:c>
      <x:c r="M22" s="74" t="str">
        <x:v>高</x:v>
      </x:c>
      <x:c r="N22" s="74" t="str">
        <x:v>是</x:v>
      </x:c>
      <x:c r="O22" s="94" t="str">
        <x:f>IF(AND(O6&gt;=$H22,O6&lt;=$I22),IF(O6&lt;=$H22+ROUND($J22*$L22,0)-1,2,1),"")</x:f>
      </x:c>
      <x:c r="P22" s="94" t="str">
        <x:f>IF(AND(P6&gt;=$H22,P6&lt;=$I22),IF(P6&lt;=$H22+ROUND($J22*$L22,0)-1,2,1),"")</x:f>
      </x:c>
      <x:c r="Q22" s="94" t="str">
        <x:f>IF(AND(Q6&gt;=$H22,Q6&lt;=$I22),IF(Q6&lt;=$H22+ROUND($J22*$L22,0)-1,2,1),"")</x:f>
      </x:c>
      <x:c r="R22" s="94" t="str">
        <x:f>IF(AND(R6&gt;=$H22,R6&lt;=$I22),IF(R6&lt;=$H22+ROUND($J22*$L22,0)-1,2,1),"")</x:f>
      </x:c>
      <x:c r="S22" s="94" t="str">
        <x:f>IF(AND(S6&gt;=$H22,S6&lt;=$I22),IF(S6&lt;=$H22+ROUND($J22*$L22,0)-1,2,1),"")</x:f>
      </x:c>
      <x:c r="T22" s="94" t="str">
        <x:f>IF(AND(T6&gt;=$H22,T6&lt;=$I22),IF(T6&lt;=$H22+ROUND($J22*$L22,0)-1,2,1),"")</x:f>
      </x:c>
      <x:c r="U22" s="94" t="str">
        <x:f>IF(AND(U6&gt;=$H22,U6&lt;=$I22),IF(U6&lt;=$H22+ROUND($J22*$L22,0)-1,2,1),"")</x:f>
      </x:c>
      <x:c r="V22" s="94" t="n">
        <x:f>IF(AND(V6&gt;=$H22,V6&lt;=$I22),IF(V6&lt;=$H22+ROUND($J22*$L22,0)-1,2,1),"")</x:f>
        <x:v>1</x:v>
      </x:c>
      <x:c r="W22" s="94" t="n">
        <x:f>IF(AND(W6&gt;=$H22,W6&lt;=$I22),IF(W6&lt;=$H22+ROUND($J22*$L22,0)-1,2,1),"")</x:f>
        <x:v>1</x:v>
      </x:c>
      <x:c r="X22" s="94" t="n">
        <x:f>IF(AND(X6&gt;=$H22,X6&lt;=$I22),IF(X6&lt;=$H22+ROUND($J22*$L22,0)-1,2,1),"")</x:f>
        <x:v>1</x:v>
      </x:c>
      <x:c r="Y22" s="94" t="n">
        <x:f>IF(AND(Y6&gt;=$H22,Y6&lt;=$I22),IF(Y6&lt;=$H22+ROUND($J22*$L22,0)-1,2,1),"")</x:f>
        <x:v>1</x:v>
      </x:c>
      <x:c r="Z22" s="94" t="n">
        <x:f>IF(AND(Z6&gt;=$H22,Z6&lt;=$I22),IF(Z6&lt;=$H22+ROUND($J22*$L22,0)-1,2,1),"")</x:f>
        <x:v>1</x:v>
      </x:c>
      <x:c r="AA22" s="94" t="str">
        <x:f>IF(AND(AA6&gt;=$H22,AA6&lt;=$I22),IF(AA6&lt;=$H22+ROUND($J22*$L22,0)-1,2,1),"")</x:f>
      </x:c>
      <x:c r="AB22" s="94" t="str">
        <x:f>IF(AND(AB6&gt;=$H22,AB6&lt;=$I22),IF(AB6&lt;=$H22+ROUND($J22*$L22,0)-1,2,1),"")</x:f>
      </x:c>
      <x:c r="AC22" s="94" t="str">
        <x:f>IF(AND(AC6&gt;=$H22,AC6&lt;=$I22),IF(AC6&lt;=$H22+ROUND($J22*$L22,0)-1,2,1),"")</x:f>
      </x:c>
      <x:c r="AD22" s="94" t="str">
        <x:f>IF(AND(AD6&gt;=$H22,AD6&lt;=$I22),IF(AD6&lt;=$H22+ROUND($J22*$L22,0)-1,2,1),"")</x:f>
      </x:c>
      <x:c r="AE22" s="94" t="str">
        <x:f>IF(AND(AE6&gt;=$H22,AE6&lt;=$I22),IF(AE6&lt;=$H22+ROUND($J22*$L22,0)-1,2,1),"")</x:f>
      </x:c>
      <x:c r="AF22" s="94" t="str">
        <x:f>IF(AND(AF6&gt;=$H22,AF6&lt;=$I22),IF(AF6&lt;=$H22+ROUND($J22*$L22,0)-1,2,1),"")</x:f>
      </x:c>
      <x:c r="AG22" s="94" t="str">
        <x:f>IF(AND(AG6&gt;=$H22,AG6&lt;=$I22),IF(AG6&lt;=$H22+ROUND($J22*$L22,0)-1,2,1),"")</x:f>
      </x:c>
      <x:c r="AH22" s="94" t="str">
        <x:f>IF(AND(AH6&gt;=$H22,AH6&lt;=$I22),IF(AH6&lt;=$H22+ROUND($J22*$L22,0)-1,2,1),"")</x:f>
      </x:c>
      <x:c r="AI22" s="94" t="str">
        <x:f>IF(AND(AI6&gt;=$H22,AI6&lt;=$I22),IF(AI6&lt;=$H22+ROUND($J22*$L22,0)-1,2,1),"")</x:f>
      </x:c>
      <x:c r="AJ22" s="94" t="str">
        <x:f>IF(AND(AJ6&gt;=$H22,AJ6&lt;=$I22),IF(AJ6&lt;=$H22+ROUND($J22*$L22,0)-1,2,1),"")</x:f>
      </x:c>
      <x:c r="AK22" s="94" t="str">
        <x:f>IF(AND(AK6&gt;=$H22,AK6&lt;=$I22),IF(AK6&lt;=$H22+ROUND($J22*$L22,0)-1,2,1),"")</x:f>
      </x:c>
      <x:c r="AL22" s="94" t="str">
        <x:f>IF(AND(AL6&gt;=$H22,AL6&lt;=$I22),IF(AL6&lt;=$H22+ROUND($J22*$L22,0)-1,2,1),"")</x:f>
      </x:c>
      <x:c r="AM22" s="94" t="str">
        <x:f>IF(AND(AM6&gt;=$H22,AM6&lt;=$I22),IF(AM6&lt;=$H22+ROUND($J22*$L22,0)-1,2,1),"")</x:f>
      </x:c>
      <x:c r="AN22" s="94" t="str">
        <x:f>IF(AND(AN6&gt;=$H22,AN6&lt;=$I22),IF(AN6&lt;=$H22+ROUND($J22*$L22,0)-1,2,1),"")</x:f>
      </x:c>
      <x:c r="AO22" s="94" t="str">
        <x:f>IF(AND(AO6&gt;=$H22,AO6&lt;=$I22),IF(AO6&lt;=$H22+ROUND($J22*$L22,0)-1,2,1),"")</x:f>
      </x:c>
      <x:c r="AP22" s="94" t="str">
        <x:f>IF(AND(AP6&gt;=$H22,AP6&lt;=$I22),IF(AP6&lt;=$H22+ROUND($J22*$L22,0)-1,2,1),"")</x:f>
      </x:c>
      <x:c r="AQ22" s="94" t="str">
        <x:f>IF(AND(AQ6&gt;=$H22,AQ6&lt;=$I22),IF(AQ6&lt;=$H22+ROUND($J22*$L22,0)-1,2,1),"")</x:f>
      </x:c>
      <x:c r="AR22" s="94" t="str">
        <x:f>IF(AND(AR6&gt;=$H22,AR6&lt;=$I22),IF(AR6&lt;=$H22+ROUND($J22*$L22,0)-1,2,1),"")</x:f>
      </x:c>
      <x:c r="AS22" s="94" t="str">
        <x:f>IF(AND(AS6&gt;=$H22,AS6&lt;=$I22),IF(AS6&lt;=$H22+ROUND($J22*$L22,0)-1,2,1),"")</x:f>
      </x:c>
    </x:row>
    <x:row r="23" ht="34" customHeight="1">
      <x:c r="A23" s="74" t="str">
        <x:v>3.6</x:v>
      </x:c>
      <x:c r="B23" s="71" t="str">
        <x:v>外部系统集成</x:v>
      </x:c>
      <x:c r="C23" s="71" t="str">
        <x:v>失败重试、对账与异常补偿</x:v>
      </x:c>
      <x:c r="D23" s="71" t="str">
        <x:v>接口异常可追踪、可重试、可对账</x:v>
      </x:c>
      <x:c r="E23" s="71" t="str">
        <x:v>技术部</x:v>
      </x:c>
      <x:c r="F23" s="71" t="str">
        <x:v>徐贵艳</x:v>
      </x:c>
      <x:c r="G23" s="71" t="str">
        <x:v>胡丹</x:v>
      </x:c>
      <x:c r="H23" s="86" t="n">
        <x:v>46246</x:v>
      </x:c>
      <x:c r="I23" s="86" t="n">
        <x:v>46249</x:v>
      </x:c>
      <x:c r="J23" s="80" t="n">
        <x:f>I23-H23+1</x:f>
        <x:v>4</x:v>
      </x:c>
      <x:c r="K23" s="71" t="str">
        <x:v>3.3,3.4,3.5</x:v>
      </x:c>
      <x:c r="L23" s="89" t="n">
        <x:v>0</x:v>
      </x:c>
      <x:c r="M23" s="74" t="str">
        <x:v>高</x:v>
      </x:c>
      <x:c r="N23" s="74" t="str">
        <x:v>是</x:v>
      </x:c>
      <x:c r="O23" s="94" t="str">
        <x:f>IF(AND(O6&gt;=$H23,O6&lt;=$I23),IF(O6&lt;=$H23+ROUND($J23*$L23,0)-1,2,1),"")</x:f>
      </x:c>
      <x:c r="P23" s="94" t="str">
        <x:f>IF(AND(P6&gt;=$H23,P6&lt;=$I23),IF(P6&lt;=$H23+ROUND($J23*$L23,0)-1,2,1),"")</x:f>
      </x:c>
      <x:c r="Q23" s="94" t="str">
        <x:f>IF(AND(Q6&gt;=$H23,Q6&lt;=$I23),IF(Q6&lt;=$H23+ROUND($J23*$L23,0)-1,2,1),"")</x:f>
      </x:c>
      <x:c r="R23" s="94" t="str">
        <x:f>IF(AND(R6&gt;=$H23,R6&lt;=$I23),IF(R6&lt;=$H23+ROUND($J23*$L23,0)-1,2,1),"")</x:f>
      </x:c>
      <x:c r="S23" s="94" t="str">
        <x:f>IF(AND(S6&gt;=$H23,S6&lt;=$I23),IF(S6&lt;=$H23+ROUND($J23*$L23,0)-1,2,1),"")</x:f>
      </x:c>
      <x:c r="T23" s="94" t="str">
        <x:f>IF(AND(T6&gt;=$H23,T6&lt;=$I23),IF(T6&lt;=$H23+ROUND($J23*$L23,0)-1,2,1),"")</x:f>
      </x:c>
      <x:c r="U23" s="94" t="str">
        <x:f>IF(AND(U6&gt;=$H23,U6&lt;=$I23),IF(U6&lt;=$H23+ROUND($J23*$L23,0)-1,2,1),"")</x:f>
      </x:c>
      <x:c r="V23" s="94" t="str">
        <x:f>IF(AND(V6&gt;=$H23,V6&lt;=$I23),IF(V6&lt;=$H23+ROUND($J23*$L23,0)-1,2,1),"")</x:f>
      </x:c>
      <x:c r="W23" s="94" t="str">
        <x:f>IF(AND(W6&gt;=$H23,W6&lt;=$I23),IF(W6&lt;=$H23+ROUND($J23*$L23,0)-1,2,1),"")</x:f>
      </x:c>
      <x:c r="X23" s="94" t="n">
        <x:f>IF(AND(X6&gt;=$H23,X6&lt;=$I23),IF(X6&lt;=$H23+ROUND($J23*$L23,0)-1,2,1),"")</x:f>
        <x:v>1</x:v>
      </x:c>
      <x:c r="Y23" s="94" t="n">
        <x:f>IF(AND(Y6&gt;=$H23,Y6&lt;=$I23),IF(Y6&lt;=$H23+ROUND($J23*$L23,0)-1,2,1),"")</x:f>
        <x:v>1</x:v>
      </x:c>
      <x:c r="Z23" s="94" t="n">
        <x:f>IF(AND(Z6&gt;=$H23,Z6&lt;=$I23),IF(Z6&lt;=$H23+ROUND($J23*$L23,0)-1,2,1),"")</x:f>
        <x:v>1</x:v>
      </x:c>
      <x:c r="AA23" s="94" t="n">
        <x:f>IF(AND(AA6&gt;=$H23,AA6&lt;=$I23),IF(AA6&lt;=$H23+ROUND($J23*$L23,0)-1,2,1),"")</x:f>
        <x:v>1</x:v>
      </x:c>
      <x:c r="AB23" s="94" t="str">
        <x:f>IF(AND(AB6&gt;=$H23,AB6&lt;=$I23),IF(AB6&lt;=$H23+ROUND($J23*$L23,0)-1,2,1),"")</x:f>
      </x:c>
      <x:c r="AC23" s="94" t="str">
        <x:f>IF(AND(AC6&gt;=$H23,AC6&lt;=$I23),IF(AC6&lt;=$H23+ROUND($J23*$L23,0)-1,2,1),"")</x:f>
      </x:c>
      <x:c r="AD23" s="94" t="str">
        <x:f>IF(AND(AD6&gt;=$H23,AD6&lt;=$I23),IF(AD6&lt;=$H23+ROUND($J23*$L23,0)-1,2,1),"")</x:f>
      </x:c>
      <x:c r="AE23" s="94" t="str">
        <x:f>IF(AND(AE6&gt;=$H23,AE6&lt;=$I23),IF(AE6&lt;=$H23+ROUND($J23*$L23,0)-1,2,1),"")</x:f>
      </x:c>
      <x:c r="AF23" s="94" t="str">
        <x:f>IF(AND(AF6&gt;=$H23,AF6&lt;=$I23),IF(AF6&lt;=$H23+ROUND($J23*$L23,0)-1,2,1),"")</x:f>
      </x:c>
      <x:c r="AG23" s="94" t="str">
        <x:f>IF(AND(AG6&gt;=$H23,AG6&lt;=$I23),IF(AG6&lt;=$H23+ROUND($J23*$L23,0)-1,2,1),"")</x:f>
      </x:c>
      <x:c r="AH23" s="94" t="str">
        <x:f>IF(AND(AH6&gt;=$H23,AH6&lt;=$I23),IF(AH6&lt;=$H23+ROUND($J23*$L23,0)-1,2,1),"")</x:f>
      </x:c>
      <x:c r="AI23" s="94" t="str">
        <x:f>IF(AND(AI6&gt;=$H23,AI6&lt;=$I23),IF(AI6&lt;=$H23+ROUND($J23*$L23,0)-1,2,1),"")</x:f>
      </x:c>
      <x:c r="AJ23" s="94" t="str">
        <x:f>IF(AND(AJ6&gt;=$H23,AJ6&lt;=$I23),IF(AJ6&lt;=$H23+ROUND($J23*$L23,0)-1,2,1),"")</x:f>
      </x:c>
      <x:c r="AK23" s="94" t="str">
        <x:f>IF(AND(AK6&gt;=$H23,AK6&lt;=$I23),IF(AK6&lt;=$H23+ROUND($J23*$L23,0)-1,2,1),"")</x:f>
      </x:c>
      <x:c r="AL23" s="94" t="str">
        <x:f>IF(AND(AL6&gt;=$H23,AL6&lt;=$I23),IF(AL6&lt;=$H23+ROUND($J23*$L23,0)-1,2,1),"")</x:f>
      </x:c>
      <x:c r="AM23" s="94" t="str">
        <x:f>IF(AND(AM6&gt;=$H23,AM6&lt;=$I23),IF(AM6&lt;=$H23+ROUND($J23*$L23,0)-1,2,1),"")</x:f>
      </x:c>
      <x:c r="AN23" s="94" t="str">
        <x:f>IF(AND(AN6&gt;=$H23,AN6&lt;=$I23),IF(AN6&lt;=$H23+ROUND($J23*$L23,0)-1,2,1),"")</x:f>
      </x:c>
      <x:c r="AO23" s="94" t="str">
        <x:f>IF(AND(AO6&gt;=$H23,AO6&lt;=$I23),IF(AO6&lt;=$H23+ROUND($J23*$L23,0)-1,2,1),"")</x:f>
      </x:c>
      <x:c r="AP23" s="94" t="str">
        <x:f>IF(AND(AP6&gt;=$H23,AP6&lt;=$I23),IF(AP6&lt;=$H23+ROUND($J23*$L23,0)-1,2,1),"")</x:f>
      </x:c>
      <x:c r="AQ23" s="94" t="str">
        <x:f>IF(AND(AQ6&gt;=$H23,AQ6&lt;=$I23),IF(AQ6&lt;=$H23+ROUND($J23*$L23,0)-1,2,1),"")</x:f>
      </x:c>
      <x:c r="AR23" s="94" t="str">
        <x:f>IF(AND(AR6&gt;=$H23,AR6&lt;=$I23),IF(AR6&lt;=$H23+ROUND($J23*$L23,0)-1,2,1),"")</x:f>
      </x:c>
      <x:c r="AS23" s="94" t="str">
        <x:f>IF(AND(AS6&gt;=$H23,AS6&lt;=$I23),IF(AS6&lt;=$H23+ROUND($J23*$L23,0)-1,2,1),"")</x:f>
      </x:c>
    </x:row>
    <x:row r="24" ht="34" customHeight="1">
      <x:c r="A24" s="74" t="str">
        <x:v>3.7</x:v>
      </x:c>
      <x:c r="B24" s="71" t="str">
        <x:v>外部系统集成</x:v>
      </x:c>
      <x:c r="C24" s="71" t="str">
        <x:v>三套外部系统联合验收</x:v>
      </x:c>
      <x:c r="D24" s="71" t="str">
        <x:v>联调结果确认单</x:v>
      </x:c>
      <x:c r="E24" s="71" t="str">
        <x:v>技术部+外部系统方</x:v>
      </x:c>
      <x:c r="F24" s="71" t="str">
        <x:v>徐贵艳</x:v>
      </x:c>
      <x:c r="G24" s="71" t="str">
        <x:v>胡丹</x:v>
      </x:c>
      <x:c r="H24" s="86" t="n">
        <x:v>46249</x:v>
      </x:c>
      <x:c r="I24" s="86" t="n">
        <x:v>46250</x:v>
      </x:c>
      <x:c r="J24" s="80" t="n">
        <x:f>I24-H24+1</x:f>
        <x:v>2</x:v>
      </x:c>
      <x:c r="K24" s="71" t="str">
        <x:v>3.6</x:v>
      </x:c>
      <x:c r="L24" s="89" t="n">
        <x:v>0</x:v>
      </x:c>
      <x:c r="M24" s="74" t="str">
        <x:v>高</x:v>
      </x:c>
      <x:c r="N24" s="74" t="str">
        <x:v>是</x:v>
      </x:c>
      <x:c r="O24" s="94" t="str">
        <x:f>IF(AND(O6&gt;=$H24,O6&lt;=$I24),IF(O6&lt;=$H24+ROUND($J24*$L24,0)-1,2,1),"")</x:f>
      </x:c>
      <x:c r="P24" s="94" t="str">
        <x:f>IF(AND(P6&gt;=$H24,P6&lt;=$I24),IF(P6&lt;=$H24+ROUND($J24*$L24,0)-1,2,1),"")</x:f>
      </x:c>
      <x:c r="Q24" s="94" t="str">
        <x:f>IF(AND(Q6&gt;=$H24,Q6&lt;=$I24),IF(Q6&lt;=$H24+ROUND($J24*$L24,0)-1,2,1),"")</x:f>
      </x:c>
      <x:c r="R24" s="94" t="str">
        <x:f>IF(AND(R6&gt;=$H24,R6&lt;=$I24),IF(R6&lt;=$H24+ROUND($J24*$L24,0)-1,2,1),"")</x:f>
      </x:c>
      <x:c r="S24" s="94" t="str">
        <x:f>IF(AND(S6&gt;=$H24,S6&lt;=$I24),IF(S6&lt;=$H24+ROUND($J24*$L24,0)-1,2,1),"")</x:f>
      </x:c>
      <x:c r="T24" s="94" t="str">
        <x:f>IF(AND(T6&gt;=$H24,T6&lt;=$I24),IF(T6&lt;=$H24+ROUND($J24*$L24,0)-1,2,1),"")</x:f>
      </x:c>
      <x:c r="U24" s="94" t="str">
        <x:f>IF(AND(U6&gt;=$H24,U6&lt;=$I24),IF(U6&lt;=$H24+ROUND($J24*$L24,0)-1,2,1),"")</x:f>
      </x:c>
      <x:c r="V24" s="94" t="str">
        <x:f>IF(AND(V6&gt;=$H24,V6&lt;=$I24),IF(V6&lt;=$H24+ROUND($J24*$L24,0)-1,2,1),"")</x:f>
      </x:c>
      <x:c r="W24" s="94" t="str">
        <x:f>IF(AND(W6&gt;=$H24,W6&lt;=$I24),IF(W6&lt;=$H24+ROUND($J24*$L24,0)-1,2,1),"")</x:f>
      </x:c>
      <x:c r="X24" s="94" t="str">
        <x:f>IF(AND(X6&gt;=$H24,X6&lt;=$I24),IF(X6&lt;=$H24+ROUND($J24*$L24,0)-1,2,1),"")</x:f>
      </x:c>
      <x:c r="Y24" s="94" t="str">
        <x:f>IF(AND(Y6&gt;=$H24,Y6&lt;=$I24),IF(Y6&lt;=$H24+ROUND($J24*$L24,0)-1,2,1),"")</x:f>
      </x:c>
      <x:c r="Z24" s="94" t="str">
        <x:f>IF(AND(Z6&gt;=$H24,Z6&lt;=$I24),IF(Z6&lt;=$H24+ROUND($J24*$L24,0)-1,2,1),"")</x:f>
      </x:c>
      <x:c r="AA24" s="94" t="n">
        <x:f>IF(AND(AA6&gt;=$H24,AA6&lt;=$I24),IF(AA6&lt;=$H24+ROUND($J24*$L24,0)-1,2,1),"")</x:f>
        <x:v>1</x:v>
      </x:c>
      <x:c r="AB24" s="94" t="n">
        <x:f>IF(AND(AB6&gt;=$H24,AB6&lt;=$I24),IF(AB6&lt;=$H24+ROUND($J24*$L24,0)-1,2,1),"")</x:f>
        <x:v>1</x:v>
      </x:c>
      <x:c r="AC24" s="94" t="str">
        <x:f>IF(AND(AC6&gt;=$H24,AC6&lt;=$I24),IF(AC6&lt;=$H24+ROUND($J24*$L24,0)-1,2,1),"")</x:f>
      </x:c>
      <x:c r="AD24" s="94" t="str">
        <x:f>IF(AND(AD6&gt;=$H24,AD6&lt;=$I24),IF(AD6&lt;=$H24+ROUND($J24*$L24,0)-1,2,1),"")</x:f>
      </x:c>
      <x:c r="AE24" s="94" t="str">
        <x:f>IF(AND(AE6&gt;=$H24,AE6&lt;=$I24),IF(AE6&lt;=$H24+ROUND($J24*$L24,0)-1,2,1),"")</x:f>
      </x:c>
      <x:c r="AF24" s="94" t="str">
        <x:f>IF(AND(AF6&gt;=$H24,AF6&lt;=$I24),IF(AF6&lt;=$H24+ROUND($J24*$L24,0)-1,2,1),"")</x:f>
      </x:c>
      <x:c r="AG24" s="94" t="str">
        <x:f>IF(AND(AG6&gt;=$H24,AG6&lt;=$I24),IF(AG6&lt;=$H24+ROUND($J24*$L24,0)-1,2,1),"")</x:f>
      </x:c>
      <x:c r="AH24" s="94" t="str">
        <x:f>IF(AND(AH6&gt;=$H24,AH6&lt;=$I24),IF(AH6&lt;=$H24+ROUND($J24*$L24,0)-1,2,1),"")</x:f>
      </x:c>
      <x:c r="AI24" s="94" t="str">
        <x:f>IF(AND(AI6&gt;=$H24,AI6&lt;=$I24),IF(AI6&lt;=$H24+ROUND($J24*$L24,0)-1,2,1),"")</x:f>
      </x:c>
      <x:c r="AJ24" s="94" t="str">
        <x:f>IF(AND(AJ6&gt;=$H24,AJ6&lt;=$I24),IF(AJ6&lt;=$H24+ROUND($J24*$L24,0)-1,2,1),"")</x:f>
      </x:c>
      <x:c r="AK24" s="94" t="str">
        <x:f>IF(AND(AK6&gt;=$H24,AK6&lt;=$I24),IF(AK6&lt;=$H24+ROUND($J24*$L24,0)-1,2,1),"")</x:f>
      </x:c>
      <x:c r="AL24" s="94" t="str">
        <x:f>IF(AND(AL6&gt;=$H24,AL6&lt;=$I24),IF(AL6&lt;=$H24+ROUND($J24*$L24,0)-1,2,1),"")</x:f>
      </x:c>
      <x:c r="AM24" s="94" t="str">
        <x:f>IF(AND(AM6&gt;=$H24,AM6&lt;=$I24),IF(AM6&lt;=$H24+ROUND($J24*$L24,0)-1,2,1),"")</x:f>
      </x:c>
      <x:c r="AN24" s="94" t="str">
        <x:f>IF(AND(AN6&gt;=$H24,AN6&lt;=$I24),IF(AN6&lt;=$H24+ROUND($J24*$L24,0)-1,2,1),"")</x:f>
      </x:c>
      <x:c r="AO24" s="94" t="str">
        <x:f>IF(AND(AO6&gt;=$H24,AO6&lt;=$I24),IF(AO6&lt;=$H24+ROUND($J24*$L24,0)-1,2,1),"")</x:f>
      </x:c>
      <x:c r="AP24" s="94" t="str">
        <x:f>IF(AND(AP6&gt;=$H24,AP6&lt;=$I24),IF(AP6&lt;=$H24+ROUND($J24*$L24,0)-1,2,1),"")</x:f>
      </x:c>
      <x:c r="AQ24" s="94" t="str">
        <x:f>IF(AND(AQ6&gt;=$H24,AQ6&lt;=$I24),IF(AQ6&lt;=$H24+ROUND($J24*$L24,0)-1,2,1),"")</x:f>
      </x:c>
      <x:c r="AR24" s="94" t="str">
        <x:f>IF(AND(AR6&gt;=$H24,AR6&lt;=$I24),IF(AR6&lt;=$H24+ROUND($J24*$L24,0)-1,2,1),"")</x:f>
      </x:c>
      <x:c r="AS24" s="94" t="str">
        <x:f>IF(AND(AS6&gt;=$H24,AS6&lt;=$I24),IF(AS6&lt;=$H24+ROUND($J24*$L24,0)-1,2,1),"")</x:f>
      </x:c>
    </x:row>
    <x:row r="25" ht="34" customHeight="1">
      <x:c r="A25" s="74" t="str">
        <x:v>4.1</x:v>
      </x:c>
      <x:c r="B25" s="71" t="str">
        <x:v>系统调优</x:v>
      </x:c>
      <x:c r="C25" s="71" t="str">
        <x:v>四大核心业务链回归与收口</x:v>
      </x:c>
      <x:c r="D25" s="71" t="str">
        <x:v>销售—生产—采购—库存闭环通过</x:v>
      </x:c>
      <x:c r="E25" s="71" t="str">
        <x:v>技术部+业务部门</x:v>
      </x:c>
      <x:c r="F25" s="71" t="str">
        <x:v>任羲宸</x:v>
      </x:c>
      <x:c r="G25" s="71" t="str">
        <x:v>任羲宸、樊宗豪</x:v>
      </x:c>
      <x:c r="H25" s="86" t="n">
        <x:v>46237</x:v>
      </x:c>
      <x:c r="I25" s="86" t="n">
        <x:v>46241</x:v>
      </x:c>
      <x:c r="J25" s="80" t="n">
        <x:f>I25-H25+1</x:f>
        <x:v>5</x:v>
      </x:c>
      <x:c r="K25" s="71" t="str">
        <x:v>0.1</x:v>
      </x:c>
      <x:c r="L25" s="89" t="n">
        <x:v>0.6</x:v>
      </x:c>
      <x:c r="M25" s="74" t="str">
        <x:v>中</x:v>
      </x:c>
      <x:c r="N25" s="74" t="str">
        <x:v>否</x:v>
      </x:c>
      <x:c r="O25" s="94" t="n">
        <x:f>IF(AND(O6&gt;=$H25,O6&lt;=$I25),IF(O6&lt;=$H25+ROUND($J25*$L25,0)-1,2,1),"")</x:f>
        <x:v>2</x:v>
      </x:c>
      <x:c r="P25" s="94" t="n">
        <x:f>IF(AND(P6&gt;=$H25,P6&lt;=$I25),IF(P6&lt;=$H25+ROUND($J25*$L25,0)-1,2,1),"")</x:f>
        <x:v>2</x:v>
      </x:c>
      <x:c r="Q25" s="94" t="n">
        <x:f>IF(AND(Q6&gt;=$H25,Q6&lt;=$I25),IF(Q6&lt;=$H25+ROUND($J25*$L25,0)-1,2,1),"")</x:f>
        <x:v>2</x:v>
      </x:c>
      <x:c r="R25" s="94" t="n">
        <x:f>IF(AND(R6&gt;=$H25,R6&lt;=$I25),IF(R6&lt;=$H25+ROUND($J25*$L25,0)-1,2,1),"")</x:f>
        <x:v>1</x:v>
      </x:c>
      <x:c r="S25" s="94" t="n">
        <x:f>IF(AND(S6&gt;=$H25,S6&lt;=$I25),IF(S6&lt;=$H25+ROUND($J25*$L25,0)-1,2,1),"")</x:f>
        <x:v>1</x:v>
      </x:c>
      <x:c r="T25" s="94" t="str">
        <x:f>IF(AND(T6&gt;=$H25,T6&lt;=$I25),IF(T6&lt;=$H25+ROUND($J25*$L25,0)-1,2,1),"")</x:f>
      </x:c>
      <x:c r="U25" s="94" t="str">
        <x:f>IF(AND(U6&gt;=$H25,U6&lt;=$I25),IF(U6&lt;=$H25+ROUND($J25*$L25,0)-1,2,1),"")</x:f>
      </x:c>
      <x:c r="V25" s="94" t="str">
        <x:f>IF(AND(V6&gt;=$H25,V6&lt;=$I25),IF(V6&lt;=$H25+ROUND($J25*$L25,0)-1,2,1),"")</x:f>
      </x:c>
      <x:c r="W25" s="94" t="str">
        <x:f>IF(AND(W6&gt;=$H25,W6&lt;=$I25),IF(W6&lt;=$H25+ROUND($J25*$L25,0)-1,2,1),"")</x:f>
      </x:c>
      <x:c r="X25" s="94" t="str">
        <x:f>IF(AND(X6&gt;=$H25,X6&lt;=$I25),IF(X6&lt;=$H25+ROUND($J25*$L25,0)-1,2,1),"")</x:f>
      </x:c>
      <x:c r="Y25" s="94" t="str">
        <x:f>IF(AND(Y6&gt;=$H25,Y6&lt;=$I25),IF(Y6&lt;=$H25+ROUND($J25*$L25,0)-1,2,1),"")</x:f>
      </x:c>
      <x:c r="Z25" s="94" t="str">
        <x:f>IF(AND(Z6&gt;=$H25,Z6&lt;=$I25),IF(Z6&lt;=$H25+ROUND($J25*$L25,0)-1,2,1),"")</x:f>
      </x:c>
      <x:c r="AA25" s="94" t="str">
        <x:f>IF(AND(AA6&gt;=$H25,AA6&lt;=$I25),IF(AA6&lt;=$H25+ROUND($J25*$L25,0)-1,2,1),"")</x:f>
      </x:c>
      <x:c r="AB25" s="94" t="str">
        <x:f>IF(AND(AB6&gt;=$H25,AB6&lt;=$I25),IF(AB6&lt;=$H25+ROUND($J25*$L25,0)-1,2,1),"")</x:f>
      </x:c>
      <x:c r="AC25" s="94" t="str">
        <x:f>IF(AND(AC6&gt;=$H25,AC6&lt;=$I25),IF(AC6&lt;=$H25+ROUND($J25*$L25,0)-1,2,1),"")</x:f>
      </x:c>
      <x:c r="AD25" s="94" t="str">
        <x:f>IF(AND(AD6&gt;=$H25,AD6&lt;=$I25),IF(AD6&lt;=$H25+ROUND($J25*$L25,0)-1,2,1),"")</x:f>
      </x:c>
      <x:c r="AE25" s="94" t="str">
        <x:f>IF(AND(AE6&gt;=$H25,AE6&lt;=$I25),IF(AE6&lt;=$H25+ROUND($J25*$L25,0)-1,2,1),"")</x:f>
      </x:c>
      <x:c r="AF25" s="94" t="str">
        <x:f>IF(AND(AF6&gt;=$H25,AF6&lt;=$I25),IF(AF6&lt;=$H25+ROUND($J25*$L25,0)-1,2,1),"")</x:f>
      </x:c>
      <x:c r="AG25" s="94" t="str">
        <x:f>IF(AND(AG6&gt;=$H25,AG6&lt;=$I25),IF(AG6&lt;=$H25+ROUND($J25*$L25,0)-1,2,1),"")</x:f>
      </x:c>
      <x:c r="AH25" s="94" t="str">
        <x:f>IF(AND(AH6&gt;=$H25,AH6&lt;=$I25),IF(AH6&lt;=$H25+ROUND($J25*$L25,0)-1,2,1),"")</x:f>
      </x:c>
      <x:c r="AI25" s="94" t="str">
        <x:f>IF(AND(AI6&gt;=$H25,AI6&lt;=$I25),IF(AI6&lt;=$H25+ROUND($J25*$L25,0)-1,2,1),"")</x:f>
      </x:c>
      <x:c r="AJ25" s="94" t="str">
        <x:f>IF(AND(AJ6&gt;=$H25,AJ6&lt;=$I25),IF(AJ6&lt;=$H25+ROUND($J25*$L25,0)-1,2,1),"")</x:f>
      </x:c>
      <x:c r="AK25" s="94" t="str">
        <x:f>IF(AND(AK6&gt;=$H25,AK6&lt;=$I25),IF(AK6&lt;=$H25+ROUND($J25*$L25,0)-1,2,1),"")</x:f>
      </x:c>
      <x:c r="AL25" s="94" t="str">
        <x:f>IF(AND(AL6&gt;=$H25,AL6&lt;=$I25),IF(AL6&lt;=$H25+ROUND($J25*$L25,0)-1,2,1),"")</x:f>
      </x:c>
      <x:c r="AM25" s="94" t="str">
        <x:f>IF(AND(AM6&gt;=$H25,AM6&lt;=$I25),IF(AM6&lt;=$H25+ROUND($J25*$L25,0)-1,2,1),"")</x:f>
      </x:c>
      <x:c r="AN25" s="94" t="str">
        <x:f>IF(AND(AN6&gt;=$H25,AN6&lt;=$I25),IF(AN6&lt;=$H25+ROUND($J25*$L25,0)-1,2,1),"")</x:f>
      </x:c>
      <x:c r="AO25" s="94" t="str">
        <x:f>IF(AND(AO6&gt;=$H25,AO6&lt;=$I25),IF(AO6&lt;=$H25+ROUND($J25*$L25,0)-1,2,1),"")</x:f>
      </x:c>
      <x:c r="AP25" s="94" t="str">
        <x:f>IF(AND(AP6&gt;=$H25,AP6&lt;=$I25),IF(AP6&lt;=$H25+ROUND($J25*$L25,0)-1,2,1),"")</x:f>
      </x:c>
      <x:c r="AQ25" s="94" t="str">
        <x:f>IF(AND(AQ6&gt;=$H25,AQ6&lt;=$I25),IF(AQ6&lt;=$H25+ROUND($J25*$L25,0)-1,2,1),"")</x:f>
      </x:c>
      <x:c r="AR25" s="94" t="str">
        <x:f>IF(AND(AR6&gt;=$H25,AR6&lt;=$I25),IF(AR6&lt;=$H25+ROUND($J25*$L25,0)-1,2,1),"")</x:f>
      </x:c>
      <x:c r="AS25" s="94" t="str">
        <x:f>IF(AND(AS6&gt;=$H25,AS6&lt;=$I25),IF(AS6&lt;=$H25+ROUND($J25*$L25,0)-1,2,1),"")</x:f>
      </x:c>
    </x:row>
    <x:row r="26" ht="34" customHeight="1">
      <x:c r="A26" s="74" t="str">
        <x:v>4.2</x:v>
      </x:c>
      <x:c r="B26" s="71" t="str">
        <x:v>系统调优</x:v>
      </x:c>
      <x:c r="C26" s="71" t="str">
        <x:v>领用管理内部链路收口</x:v>
      </x:c>
      <x:c r="D26" s="71" t="str">
        <x:v>申请、出库、退还链路通过</x:v>
      </x:c>
      <x:c r="E26" s="71" t="str">
        <x:v>技术部+行政/健服</x:v>
      </x:c>
      <x:c r="F26" s="71" t="str">
        <x:v>任羲宸</x:v>
      </x:c>
      <x:c r="G26" s="71" t="str">
        <x:v>任羲宸、樊宗豪</x:v>
      </x:c>
      <x:c r="H26" s="86" t="n">
        <x:v>46239</x:v>
      </x:c>
      <x:c r="I26" s="86" t="n">
        <x:v>46241</x:v>
      </x:c>
      <x:c r="J26" s="80" t="n">
        <x:f>I26-H26+1</x:f>
        <x:v>3</x:v>
      </x:c>
      <x:c r="K26" s="71" t="str">
        <x:v>0.1</x:v>
      </x:c>
      <x:c r="L26" s="89" t="n">
        <x:v>0.7</x:v>
      </x:c>
      <x:c r="M26" s="74" t="str">
        <x:v>低</x:v>
      </x:c>
      <x:c r="N26" s="74" t="str">
        <x:v>否</x:v>
      </x:c>
      <x:c r="O26" s="94" t="str">
        <x:f>IF(AND(O6&gt;=$H26,O6&lt;=$I26),IF(O6&lt;=$H26+ROUND($J26*$L26,0)-1,2,1),"")</x:f>
      </x:c>
      <x:c r="P26" s="94" t="str">
        <x:f>IF(AND(P6&gt;=$H26,P6&lt;=$I26),IF(P6&lt;=$H26+ROUND($J26*$L26,0)-1,2,1),"")</x:f>
      </x:c>
      <x:c r="Q26" s="94" t="n">
        <x:f>IF(AND(Q6&gt;=$H26,Q6&lt;=$I26),IF(Q6&lt;=$H26+ROUND($J26*$L26,0)-1,2,1),"")</x:f>
        <x:v>2</x:v>
      </x:c>
      <x:c r="R26" s="94" t="n">
        <x:f>IF(AND(R6&gt;=$H26,R6&lt;=$I26),IF(R6&lt;=$H26+ROUND($J26*$L26,0)-1,2,1),"")</x:f>
        <x:v>2</x:v>
      </x:c>
      <x:c r="S26" s="94" t="n">
        <x:f>IF(AND(S6&gt;=$H26,S6&lt;=$I26),IF(S6&lt;=$H26+ROUND($J26*$L26,0)-1,2,1),"")</x:f>
        <x:v>1</x:v>
      </x:c>
      <x:c r="T26" s="94" t="str">
        <x:f>IF(AND(T6&gt;=$H26,T6&lt;=$I26),IF(T6&lt;=$H26+ROUND($J26*$L26,0)-1,2,1),"")</x:f>
      </x:c>
      <x:c r="U26" s="94" t="str">
        <x:f>IF(AND(U6&gt;=$H26,U6&lt;=$I26),IF(U6&lt;=$H26+ROUND($J26*$L26,0)-1,2,1),"")</x:f>
      </x:c>
      <x:c r="V26" s="94" t="str">
        <x:f>IF(AND(V6&gt;=$H26,V6&lt;=$I26),IF(V6&lt;=$H26+ROUND($J26*$L26,0)-1,2,1),"")</x:f>
      </x:c>
      <x:c r="W26" s="94" t="str">
        <x:f>IF(AND(W6&gt;=$H26,W6&lt;=$I26),IF(W6&lt;=$H26+ROUND($J26*$L26,0)-1,2,1),"")</x:f>
      </x:c>
      <x:c r="X26" s="94" t="str">
        <x:f>IF(AND(X6&gt;=$H26,X6&lt;=$I26),IF(X6&lt;=$H26+ROUND($J26*$L26,0)-1,2,1),"")</x:f>
      </x:c>
      <x:c r="Y26" s="94" t="str">
        <x:f>IF(AND(Y6&gt;=$H26,Y6&lt;=$I26),IF(Y6&lt;=$H26+ROUND($J26*$L26,0)-1,2,1),"")</x:f>
      </x:c>
      <x:c r="Z26" s="94" t="str">
        <x:f>IF(AND(Z6&gt;=$H26,Z6&lt;=$I26),IF(Z6&lt;=$H26+ROUND($J26*$L26,0)-1,2,1),"")</x:f>
      </x:c>
      <x:c r="AA26" s="94" t="str">
        <x:f>IF(AND(AA6&gt;=$H26,AA6&lt;=$I26),IF(AA6&lt;=$H26+ROUND($J26*$L26,0)-1,2,1),"")</x:f>
      </x:c>
      <x:c r="AB26" s="94" t="str">
        <x:f>IF(AND(AB6&gt;=$H26,AB6&lt;=$I26),IF(AB6&lt;=$H26+ROUND($J26*$L26,0)-1,2,1),"")</x:f>
      </x:c>
      <x:c r="AC26" s="94" t="str">
        <x:f>IF(AND(AC6&gt;=$H26,AC6&lt;=$I26),IF(AC6&lt;=$H26+ROUND($J26*$L26,0)-1,2,1),"")</x:f>
      </x:c>
      <x:c r="AD26" s="94" t="str">
        <x:f>IF(AND(AD6&gt;=$H26,AD6&lt;=$I26),IF(AD6&lt;=$H26+ROUND($J26*$L26,0)-1,2,1),"")</x:f>
      </x:c>
      <x:c r="AE26" s="94" t="str">
        <x:f>IF(AND(AE6&gt;=$H26,AE6&lt;=$I26),IF(AE6&lt;=$H26+ROUND($J26*$L26,0)-1,2,1),"")</x:f>
      </x:c>
      <x:c r="AF26" s="94" t="str">
        <x:f>IF(AND(AF6&gt;=$H26,AF6&lt;=$I26),IF(AF6&lt;=$H26+ROUND($J26*$L26,0)-1,2,1),"")</x:f>
      </x:c>
      <x:c r="AG26" s="94" t="str">
        <x:f>IF(AND(AG6&gt;=$H26,AG6&lt;=$I26),IF(AG6&lt;=$H26+ROUND($J26*$L26,0)-1,2,1),"")</x:f>
      </x:c>
      <x:c r="AH26" s="94" t="str">
        <x:f>IF(AND(AH6&gt;=$H26,AH6&lt;=$I26),IF(AH6&lt;=$H26+ROUND($J26*$L26,0)-1,2,1),"")</x:f>
      </x:c>
      <x:c r="AI26" s="94" t="str">
        <x:f>IF(AND(AI6&gt;=$H26,AI6&lt;=$I26),IF(AI6&lt;=$H26+ROUND($J26*$L26,0)-1,2,1),"")</x:f>
      </x:c>
      <x:c r="AJ26" s="94" t="str">
        <x:f>IF(AND(AJ6&gt;=$H26,AJ6&lt;=$I26),IF(AJ6&lt;=$H26+ROUND($J26*$L26,0)-1,2,1),"")</x:f>
      </x:c>
      <x:c r="AK26" s="94" t="str">
        <x:f>IF(AND(AK6&gt;=$H26,AK6&lt;=$I26),IF(AK6&lt;=$H26+ROUND($J26*$L26,0)-1,2,1),"")</x:f>
      </x:c>
      <x:c r="AL26" s="94" t="str">
        <x:f>IF(AND(AL6&gt;=$H26,AL6&lt;=$I26),IF(AL6&lt;=$H26+ROUND($J26*$L26,0)-1,2,1),"")</x:f>
      </x:c>
      <x:c r="AM26" s="94" t="str">
        <x:f>IF(AND(AM6&gt;=$H26,AM6&lt;=$I26),IF(AM6&lt;=$H26+ROUND($J26*$L26,0)-1,2,1),"")</x:f>
      </x:c>
      <x:c r="AN26" s="94" t="str">
        <x:f>IF(AND(AN6&gt;=$H26,AN6&lt;=$I26),IF(AN6&lt;=$H26+ROUND($J26*$L26,0)-1,2,1),"")</x:f>
      </x:c>
      <x:c r="AO26" s="94" t="str">
        <x:f>IF(AND(AO6&gt;=$H26,AO6&lt;=$I26),IF(AO6&lt;=$H26+ROUND($J26*$L26,0)-1,2,1),"")</x:f>
      </x:c>
      <x:c r="AP26" s="94" t="str">
        <x:f>IF(AND(AP6&gt;=$H26,AP6&lt;=$I26),IF(AP6&lt;=$H26+ROUND($J26*$L26,0)-1,2,1),"")</x:f>
      </x:c>
      <x:c r="AQ26" s="94" t="str">
        <x:f>IF(AND(AQ6&gt;=$H26,AQ6&lt;=$I26),IF(AQ6&lt;=$H26+ROUND($J26*$L26,0)-1,2,1),"")</x:f>
      </x:c>
      <x:c r="AR26" s="94" t="str">
        <x:f>IF(AND(AR6&gt;=$H26,AR6&lt;=$I26),IF(AR6&lt;=$H26+ROUND($J26*$L26,0)-1,2,1),"")</x:f>
      </x:c>
      <x:c r="AS26" s="94" t="str">
        <x:f>IF(AND(AS6&gt;=$H26,AS6&lt;=$I26),IF(AS6&lt;=$H26+ROUND($J26*$L26,0)-1,2,1),"")</x:f>
      </x:c>
    </x:row>
    <x:row r="27" ht="34" customHeight="1">
      <x:c r="A27" s="74" t="str">
        <x:v>4.3</x:v>
      </x:c>
      <x:c r="B27" s="71" t="str">
        <x:v>系统调优</x:v>
      </x:c>
      <x:c r="C27" s="71" t="str">
        <x:v>工作台与报表真实数据适配</x:v>
      </x:c>
      <x:c r="D27" s="71" t="str">
        <x:v>总览、消息、统计口径可用</x:v>
      </x:c>
      <x:c r="E27" s="71" t="str">
        <x:v>技术部</x:v>
      </x:c>
      <x:c r="F27" s="71" t="str">
        <x:v>任羲宸</x:v>
      </x:c>
      <x:c r="G27" s="71" t="str">
        <x:v>任羲宸、樊宗豪</x:v>
      </x:c>
      <x:c r="H27" s="86" t="n">
        <x:v>46240</x:v>
      </x:c>
      <x:c r="I27" s="86" t="n">
        <x:v>46242</x:v>
      </x:c>
      <x:c r="J27" s="80" t="n">
        <x:f>I27-H27+1</x:f>
        <x:v>3</x:v>
      </x:c>
      <x:c r="K27" s="71" t="str">
        <x:v>4.1</x:v>
      </x:c>
      <x:c r="L27" s="89" t="n">
        <x:v>0.5</x:v>
      </x:c>
      <x:c r="M27" s="74" t="str">
        <x:v>中</x:v>
      </x:c>
      <x:c r="N27" s="74" t="str">
        <x:v>否</x:v>
      </x:c>
      <x:c r="O27" s="94" t="str">
        <x:f>IF(AND(O6&gt;=$H27,O6&lt;=$I27),IF(O6&lt;=$H27+ROUND($J27*$L27,0)-1,2,1),"")</x:f>
      </x:c>
      <x:c r="P27" s="94" t="str">
        <x:f>IF(AND(P6&gt;=$H27,P6&lt;=$I27),IF(P6&lt;=$H27+ROUND($J27*$L27,0)-1,2,1),"")</x:f>
      </x:c>
      <x:c r="Q27" s="94" t="str">
        <x:f>IF(AND(Q6&gt;=$H27,Q6&lt;=$I27),IF(Q6&lt;=$H27+ROUND($J27*$L27,0)-1,2,1),"")</x:f>
      </x:c>
      <x:c r="R27" s="94" t="n">
        <x:f>IF(AND(R6&gt;=$H27,R6&lt;=$I27),IF(R6&lt;=$H27+ROUND($J27*$L27,0)-1,2,1),"")</x:f>
        <x:v>2</x:v>
      </x:c>
      <x:c r="S27" s="94" t="n">
        <x:f>IF(AND(S6&gt;=$H27,S6&lt;=$I27),IF(S6&lt;=$H27+ROUND($J27*$L27,0)-1,2,1),"")</x:f>
        <x:v>2</x:v>
      </x:c>
      <x:c r="T27" s="94" t="n">
        <x:f>IF(AND(T6&gt;=$H27,T6&lt;=$I27),IF(T6&lt;=$H27+ROUND($J27*$L27,0)-1,2,1),"")</x:f>
        <x:v>1</x:v>
      </x:c>
      <x:c r="U27" s="94" t="str">
        <x:f>IF(AND(U6&gt;=$H27,U6&lt;=$I27),IF(U6&lt;=$H27+ROUND($J27*$L27,0)-1,2,1),"")</x:f>
      </x:c>
      <x:c r="V27" s="94" t="str">
        <x:f>IF(AND(V6&gt;=$H27,V6&lt;=$I27),IF(V6&lt;=$H27+ROUND($J27*$L27,0)-1,2,1),"")</x:f>
      </x:c>
      <x:c r="W27" s="94" t="str">
        <x:f>IF(AND(W6&gt;=$H27,W6&lt;=$I27),IF(W6&lt;=$H27+ROUND($J27*$L27,0)-1,2,1),"")</x:f>
      </x:c>
      <x:c r="X27" s="94" t="str">
        <x:f>IF(AND(X6&gt;=$H27,X6&lt;=$I27),IF(X6&lt;=$H27+ROUND($J27*$L27,0)-1,2,1),"")</x:f>
      </x:c>
      <x:c r="Y27" s="94" t="str">
        <x:f>IF(AND(Y6&gt;=$H27,Y6&lt;=$I27),IF(Y6&lt;=$H27+ROUND($J27*$L27,0)-1,2,1),"")</x:f>
      </x:c>
      <x:c r="Z27" s="94" t="str">
        <x:f>IF(AND(Z6&gt;=$H27,Z6&lt;=$I27),IF(Z6&lt;=$H27+ROUND($J27*$L27,0)-1,2,1),"")</x:f>
      </x:c>
      <x:c r="AA27" s="94" t="str">
        <x:f>IF(AND(AA6&gt;=$H27,AA6&lt;=$I27),IF(AA6&lt;=$H27+ROUND($J27*$L27,0)-1,2,1),"")</x:f>
      </x:c>
      <x:c r="AB27" s="94" t="str">
        <x:f>IF(AND(AB6&gt;=$H27,AB6&lt;=$I27),IF(AB6&lt;=$H27+ROUND($J27*$L27,0)-1,2,1),"")</x:f>
      </x:c>
      <x:c r="AC27" s="94" t="str">
        <x:f>IF(AND(AC6&gt;=$H27,AC6&lt;=$I27),IF(AC6&lt;=$H27+ROUND($J27*$L27,0)-1,2,1),"")</x:f>
      </x:c>
      <x:c r="AD27" s="94" t="str">
        <x:f>IF(AND(AD6&gt;=$H27,AD6&lt;=$I27),IF(AD6&lt;=$H27+ROUND($J27*$L27,0)-1,2,1),"")</x:f>
      </x:c>
      <x:c r="AE27" s="94" t="str">
        <x:f>IF(AND(AE6&gt;=$H27,AE6&lt;=$I27),IF(AE6&lt;=$H27+ROUND($J27*$L27,0)-1,2,1),"")</x:f>
      </x:c>
      <x:c r="AF27" s="94" t="str">
        <x:f>IF(AND(AF6&gt;=$H27,AF6&lt;=$I27),IF(AF6&lt;=$H27+ROUND($J27*$L27,0)-1,2,1),"")</x:f>
      </x:c>
      <x:c r="AG27" s="94" t="str">
        <x:f>IF(AND(AG6&gt;=$H27,AG6&lt;=$I27),IF(AG6&lt;=$H27+ROUND($J27*$L27,0)-1,2,1),"")</x:f>
      </x:c>
      <x:c r="AH27" s="94" t="str">
        <x:f>IF(AND(AH6&gt;=$H27,AH6&lt;=$I27),IF(AH6&lt;=$H27+ROUND($J27*$L27,0)-1,2,1),"")</x:f>
      </x:c>
      <x:c r="AI27" s="94" t="str">
        <x:f>IF(AND(AI6&gt;=$H27,AI6&lt;=$I27),IF(AI6&lt;=$H27+ROUND($J27*$L27,0)-1,2,1),"")</x:f>
      </x:c>
      <x:c r="AJ27" s="94" t="str">
        <x:f>IF(AND(AJ6&gt;=$H27,AJ6&lt;=$I27),IF(AJ6&lt;=$H27+ROUND($J27*$L27,0)-1,2,1),"")</x:f>
      </x:c>
      <x:c r="AK27" s="94" t="str">
        <x:f>IF(AND(AK6&gt;=$H27,AK6&lt;=$I27),IF(AK6&lt;=$H27+ROUND($J27*$L27,0)-1,2,1),"")</x:f>
      </x:c>
      <x:c r="AL27" s="94" t="str">
        <x:f>IF(AND(AL6&gt;=$H27,AL6&lt;=$I27),IF(AL6&lt;=$H27+ROUND($J27*$L27,0)-1,2,1),"")</x:f>
      </x:c>
      <x:c r="AM27" s="94" t="str">
        <x:f>IF(AND(AM6&gt;=$H27,AM6&lt;=$I27),IF(AM6&lt;=$H27+ROUND($J27*$L27,0)-1,2,1),"")</x:f>
      </x:c>
      <x:c r="AN27" s="94" t="str">
        <x:f>IF(AND(AN6&gt;=$H27,AN6&lt;=$I27),IF(AN6&lt;=$H27+ROUND($J27*$L27,0)-1,2,1),"")</x:f>
      </x:c>
      <x:c r="AO27" s="94" t="str">
        <x:f>IF(AND(AO6&gt;=$H27,AO6&lt;=$I27),IF(AO6&lt;=$H27+ROUND($J27*$L27,0)-1,2,1),"")</x:f>
      </x:c>
      <x:c r="AP27" s="94" t="str">
        <x:f>IF(AND(AP6&gt;=$H27,AP6&lt;=$I27),IF(AP6&lt;=$H27+ROUND($J27*$L27,0)-1,2,1),"")</x:f>
      </x:c>
      <x:c r="AQ27" s="94" t="str">
        <x:f>IF(AND(AQ6&gt;=$H27,AQ6&lt;=$I27),IF(AQ6&lt;=$H27+ROUND($J27*$L27,0)-1,2,1),"")</x:f>
      </x:c>
      <x:c r="AR27" s="94" t="str">
        <x:f>IF(AND(AR6&gt;=$H27,AR6&lt;=$I27),IF(AR6&lt;=$H27+ROUND($J27*$L27,0)-1,2,1),"")</x:f>
      </x:c>
      <x:c r="AS27" s="94" t="str">
        <x:f>IF(AND(AS6&gt;=$H27,AS6&lt;=$I27),IF(AS6&lt;=$H27+ROUND($J27*$L27,0)-1,2,1),"")</x:f>
      </x:c>
    </x:row>
    <x:row r="28" ht="34" customHeight="1">
      <x:c r="A28" s="74" t="str">
        <x:v>4.4</x:v>
      </x:c>
      <x:c r="B28" s="71" t="str">
        <x:v>系统调优</x:v>
      </x:c>
      <x:c r="C28" s="71" t="str">
        <x:v>菜单、表单、弹框与需求文档统一</x:v>
      </x:c>
      <x:c r="D28" s="71" t="str">
        <x:v>界面及需求说明保持一致</x:v>
      </x:c>
      <x:c r="E28" s="71" t="str">
        <x:v>技术部</x:v>
      </x:c>
      <x:c r="F28" s="71" t="str">
        <x:v>任羲宸</x:v>
      </x:c>
      <x:c r="G28" s="71" t="str">
        <x:v>任羲宸、樊宗豪</x:v>
      </x:c>
      <x:c r="H28" s="86" t="n">
        <x:v>46237</x:v>
      </x:c>
      <x:c r="I28" s="86" t="n">
        <x:v>46242</x:v>
      </x:c>
      <x:c r="J28" s="80" t="n">
        <x:f>I28-H28+1</x:f>
        <x:v>6</x:v>
      </x:c>
      <x:c r="K28" s="71" t="str">
        <x:v>0.1</x:v>
      </x:c>
      <x:c r="L28" s="89" t="n">
        <x:v>0.7</x:v>
      </x:c>
      <x:c r="M28" s="74" t="str">
        <x:v>低</x:v>
      </x:c>
      <x:c r="N28" s="74" t="str">
        <x:v>否</x:v>
      </x:c>
      <x:c r="O28" s="94" t="n">
        <x:f>IF(AND(O6&gt;=$H28,O6&lt;=$I28),IF(O6&lt;=$H28+ROUND($J28*$L28,0)-1,2,1),"")</x:f>
        <x:v>2</x:v>
      </x:c>
      <x:c r="P28" s="94" t="n">
        <x:f>IF(AND(P6&gt;=$H28,P6&lt;=$I28),IF(P6&lt;=$H28+ROUND($J28*$L28,0)-1,2,1),"")</x:f>
        <x:v>2</x:v>
      </x:c>
      <x:c r="Q28" s="94" t="n">
        <x:f>IF(AND(Q6&gt;=$H28,Q6&lt;=$I28),IF(Q6&lt;=$H28+ROUND($J28*$L28,0)-1,2,1),"")</x:f>
        <x:v>2</x:v>
      </x:c>
      <x:c r="R28" s="94" t="n">
        <x:f>IF(AND(R6&gt;=$H28,R6&lt;=$I28),IF(R6&lt;=$H28+ROUND($J28*$L28,0)-1,2,1),"")</x:f>
        <x:v>2</x:v>
      </x:c>
      <x:c r="S28" s="94" t="n">
        <x:f>IF(AND(S6&gt;=$H28,S6&lt;=$I28),IF(S6&lt;=$H28+ROUND($J28*$L28,0)-1,2,1),"")</x:f>
        <x:v>1</x:v>
      </x:c>
      <x:c r="T28" s="94" t="n">
        <x:f>IF(AND(T6&gt;=$H28,T6&lt;=$I28),IF(T6&lt;=$H28+ROUND($J28*$L28,0)-1,2,1),"")</x:f>
        <x:v>1</x:v>
      </x:c>
      <x:c r="U28" s="94" t="str">
        <x:f>IF(AND(U6&gt;=$H28,U6&lt;=$I28),IF(U6&lt;=$H28+ROUND($J28*$L28,0)-1,2,1),"")</x:f>
      </x:c>
      <x:c r="V28" s="94" t="str">
        <x:f>IF(AND(V6&gt;=$H28,V6&lt;=$I28),IF(V6&lt;=$H28+ROUND($J28*$L28,0)-1,2,1),"")</x:f>
      </x:c>
      <x:c r="W28" s="94" t="str">
        <x:f>IF(AND(W6&gt;=$H28,W6&lt;=$I28),IF(W6&lt;=$H28+ROUND($J28*$L28,0)-1,2,1),"")</x:f>
      </x:c>
      <x:c r="X28" s="94" t="str">
        <x:f>IF(AND(X6&gt;=$H28,X6&lt;=$I28),IF(X6&lt;=$H28+ROUND($J28*$L28,0)-1,2,1),"")</x:f>
      </x:c>
      <x:c r="Y28" s="94" t="str">
        <x:f>IF(AND(Y6&gt;=$H28,Y6&lt;=$I28),IF(Y6&lt;=$H28+ROUND($J28*$L28,0)-1,2,1),"")</x:f>
      </x:c>
      <x:c r="Z28" s="94" t="str">
        <x:f>IF(AND(Z6&gt;=$H28,Z6&lt;=$I28),IF(Z6&lt;=$H28+ROUND($J28*$L28,0)-1,2,1),"")</x:f>
      </x:c>
      <x:c r="AA28" s="94" t="str">
        <x:f>IF(AND(AA6&gt;=$H28,AA6&lt;=$I28),IF(AA6&lt;=$H28+ROUND($J28*$L28,0)-1,2,1),"")</x:f>
      </x:c>
      <x:c r="AB28" s="94" t="str">
        <x:f>IF(AND(AB6&gt;=$H28,AB6&lt;=$I28),IF(AB6&lt;=$H28+ROUND($J28*$L28,0)-1,2,1),"")</x:f>
      </x:c>
      <x:c r="AC28" s="94" t="str">
        <x:f>IF(AND(AC6&gt;=$H28,AC6&lt;=$I28),IF(AC6&lt;=$H28+ROUND($J28*$L28,0)-1,2,1),"")</x:f>
      </x:c>
      <x:c r="AD28" s="94" t="str">
        <x:f>IF(AND(AD6&gt;=$H28,AD6&lt;=$I28),IF(AD6&lt;=$H28+ROUND($J28*$L28,0)-1,2,1),"")</x:f>
      </x:c>
      <x:c r="AE28" s="94" t="str">
        <x:f>IF(AND(AE6&gt;=$H28,AE6&lt;=$I28),IF(AE6&lt;=$H28+ROUND($J28*$L28,0)-1,2,1),"")</x:f>
      </x:c>
      <x:c r="AF28" s="94" t="str">
        <x:f>IF(AND(AF6&gt;=$H28,AF6&lt;=$I28),IF(AF6&lt;=$H28+ROUND($J28*$L28,0)-1,2,1),"")</x:f>
      </x:c>
      <x:c r="AG28" s="94" t="str">
        <x:f>IF(AND(AG6&gt;=$H28,AG6&lt;=$I28),IF(AG6&lt;=$H28+ROUND($J28*$L28,0)-1,2,1),"")</x:f>
      </x:c>
      <x:c r="AH28" s="94" t="str">
        <x:f>IF(AND(AH6&gt;=$H28,AH6&lt;=$I28),IF(AH6&lt;=$H28+ROUND($J28*$L28,0)-1,2,1),"")</x:f>
      </x:c>
      <x:c r="AI28" s="94" t="str">
        <x:f>IF(AND(AI6&gt;=$H28,AI6&lt;=$I28),IF(AI6&lt;=$H28+ROUND($J28*$L28,0)-1,2,1),"")</x:f>
      </x:c>
      <x:c r="AJ28" s="94" t="str">
        <x:f>IF(AND(AJ6&gt;=$H28,AJ6&lt;=$I28),IF(AJ6&lt;=$H28+ROUND($J28*$L28,0)-1,2,1),"")</x:f>
      </x:c>
      <x:c r="AK28" s="94" t="str">
        <x:f>IF(AND(AK6&gt;=$H28,AK6&lt;=$I28),IF(AK6&lt;=$H28+ROUND($J28*$L28,0)-1,2,1),"")</x:f>
      </x:c>
      <x:c r="AL28" s="94" t="str">
        <x:f>IF(AND(AL6&gt;=$H28,AL6&lt;=$I28),IF(AL6&lt;=$H28+ROUND($J28*$L28,0)-1,2,1),"")</x:f>
      </x:c>
      <x:c r="AM28" s="94" t="str">
        <x:f>IF(AND(AM6&gt;=$H28,AM6&lt;=$I28),IF(AM6&lt;=$H28+ROUND($J28*$L28,0)-1,2,1),"")</x:f>
      </x:c>
      <x:c r="AN28" s="94" t="str">
        <x:f>IF(AND(AN6&gt;=$H28,AN6&lt;=$I28),IF(AN6&lt;=$H28+ROUND($J28*$L28,0)-1,2,1),"")</x:f>
      </x:c>
      <x:c r="AO28" s="94" t="str">
        <x:f>IF(AND(AO6&gt;=$H28,AO6&lt;=$I28),IF(AO6&lt;=$H28+ROUND($J28*$L28,0)-1,2,1),"")</x:f>
      </x:c>
      <x:c r="AP28" s="94" t="str">
        <x:f>IF(AND(AP6&gt;=$H28,AP6&lt;=$I28),IF(AP6&lt;=$H28+ROUND($J28*$L28,0)-1,2,1),"")</x:f>
      </x:c>
      <x:c r="AQ28" s="94" t="str">
        <x:f>IF(AND(AQ6&gt;=$H28,AQ6&lt;=$I28),IF(AQ6&lt;=$H28+ROUND($J28*$L28,0)-1,2,1),"")</x:f>
      </x:c>
      <x:c r="AR28" s="94" t="str">
        <x:f>IF(AND(AR6&gt;=$H28,AR6&lt;=$I28),IF(AR6&lt;=$H28+ROUND($J28*$L28,0)-1,2,1),"")</x:f>
      </x:c>
      <x:c r="AS28" s="94" t="str">
        <x:f>IF(AND(AS6&gt;=$H28,AS6&lt;=$I28),IF(AS6&lt;=$H28+ROUND($J28*$L28,0)-1,2,1),"")</x:f>
      </x:c>
    </x:row>
    <x:row r="29" ht="34" customHeight="1">
      <x:c r="A29" s="74" t="str">
        <x:v>4.5</x:v>
      </x:c>
      <x:c r="B29" s="71" t="str">
        <x:v>系统调优</x:v>
      </x:c>
      <x:c r="C29" s="71" t="str">
        <x:v>P0/P1 问题集中关闭</x:v>
      </x:c>
      <x:c r="D29" s="71" t="str">
        <x:v>阻断演示和上线的问题清零</x:v>
      </x:c>
      <x:c r="E29" s="71" t="str">
        <x:v>技术部</x:v>
      </x:c>
      <x:c r="F29" s="71" t="str">
        <x:v>任羲宸</x:v>
      </x:c>
      <x:c r="G29" s="71" t="str">
        <x:v>任羲宸、樊宗豪</x:v>
      </x:c>
      <x:c r="H29" s="86" t="n">
        <x:v>46242</x:v>
      </x:c>
      <x:c r="I29" s="86" t="n">
        <x:v>46247</x:v>
      </x:c>
      <x:c r="J29" s="80" t="n">
        <x:f>I29-H29+1</x:f>
        <x:v>6</x:v>
      </x:c>
      <x:c r="K29" s="71" t="str">
        <x:v>4.1,4.2,4.3,4.4</x:v>
      </x:c>
      <x:c r="L29" s="89" t="n">
        <x:v>0</x:v>
      </x:c>
      <x:c r="M29" s="74" t="str">
        <x:v>高</x:v>
      </x:c>
      <x:c r="N29" s="74" t="str">
        <x:v>是</x:v>
      </x:c>
      <x:c r="O29" s="94" t="str">
        <x:f>IF(AND(O6&gt;=$H29,O6&lt;=$I29),IF(O6&lt;=$H29+ROUND($J29*$L29,0)-1,2,1),"")</x:f>
      </x:c>
      <x:c r="P29" s="94" t="str">
        <x:f>IF(AND(P6&gt;=$H29,P6&lt;=$I29),IF(P6&lt;=$H29+ROUND($J29*$L29,0)-1,2,1),"")</x:f>
      </x:c>
      <x:c r="Q29" s="94" t="str">
        <x:f>IF(AND(Q6&gt;=$H29,Q6&lt;=$I29),IF(Q6&lt;=$H29+ROUND($J29*$L29,0)-1,2,1),"")</x:f>
      </x:c>
      <x:c r="R29" s="94" t="str">
        <x:f>IF(AND(R6&gt;=$H29,R6&lt;=$I29),IF(R6&lt;=$H29+ROUND($J29*$L29,0)-1,2,1),"")</x:f>
      </x:c>
      <x:c r="S29" s="94" t="str">
        <x:f>IF(AND(S6&gt;=$H29,S6&lt;=$I29),IF(S6&lt;=$H29+ROUND($J29*$L29,0)-1,2,1),"")</x:f>
      </x:c>
      <x:c r="T29" s="94" t="n">
        <x:f>IF(AND(T6&gt;=$H29,T6&lt;=$I29),IF(T6&lt;=$H29+ROUND($J29*$L29,0)-1,2,1),"")</x:f>
        <x:v>1</x:v>
      </x:c>
      <x:c r="U29" s="94" t="n">
        <x:f>IF(AND(U6&gt;=$H29,U6&lt;=$I29),IF(U6&lt;=$H29+ROUND($J29*$L29,0)-1,2,1),"")</x:f>
        <x:v>1</x:v>
      </x:c>
      <x:c r="V29" s="94" t="n">
        <x:f>IF(AND(V6&gt;=$H29,V6&lt;=$I29),IF(V6&lt;=$H29+ROUND($J29*$L29,0)-1,2,1),"")</x:f>
        <x:v>1</x:v>
      </x:c>
      <x:c r="W29" s="94" t="n">
        <x:f>IF(AND(W6&gt;=$H29,W6&lt;=$I29),IF(W6&lt;=$H29+ROUND($J29*$L29,0)-1,2,1),"")</x:f>
        <x:v>1</x:v>
      </x:c>
      <x:c r="X29" s="94" t="n">
        <x:f>IF(AND(X6&gt;=$H29,X6&lt;=$I29),IF(X6&lt;=$H29+ROUND($J29*$L29,0)-1,2,1),"")</x:f>
        <x:v>1</x:v>
      </x:c>
      <x:c r="Y29" s="94" t="n">
        <x:f>IF(AND(Y6&gt;=$H29,Y6&lt;=$I29),IF(Y6&lt;=$H29+ROUND($J29*$L29,0)-1,2,1),"")</x:f>
        <x:v>1</x:v>
      </x:c>
      <x:c r="Z29" s="94" t="str">
        <x:f>IF(AND(Z6&gt;=$H29,Z6&lt;=$I29),IF(Z6&lt;=$H29+ROUND($J29*$L29,0)-1,2,1),"")</x:f>
      </x:c>
      <x:c r="AA29" s="94" t="str">
        <x:f>IF(AND(AA6&gt;=$H29,AA6&lt;=$I29),IF(AA6&lt;=$H29+ROUND($J29*$L29,0)-1,2,1),"")</x:f>
      </x:c>
      <x:c r="AB29" s="94" t="str">
        <x:f>IF(AND(AB6&gt;=$H29,AB6&lt;=$I29),IF(AB6&lt;=$H29+ROUND($J29*$L29,0)-1,2,1),"")</x:f>
      </x:c>
      <x:c r="AC29" s="94" t="str">
        <x:f>IF(AND(AC6&gt;=$H29,AC6&lt;=$I29),IF(AC6&lt;=$H29+ROUND($J29*$L29,0)-1,2,1),"")</x:f>
      </x:c>
      <x:c r="AD29" s="94" t="str">
        <x:f>IF(AND(AD6&gt;=$H29,AD6&lt;=$I29),IF(AD6&lt;=$H29+ROUND($J29*$L29,0)-1,2,1),"")</x:f>
      </x:c>
      <x:c r="AE29" s="94" t="str">
        <x:f>IF(AND(AE6&gt;=$H29,AE6&lt;=$I29),IF(AE6&lt;=$H29+ROUND($J29*$L29,0)-1,2,1),"")</x:f>
      </x:c>
      <x:c r="AF29" s="94" t="str">
        <x:f>IF(AND(AF6&gt;=$H29,AF6&lt;=$I29),IF(AF6&lt;=$H29+ROUND($J29*$L29,0)-1,2,1),"")</x:f>
      </x:c>
      <x:c r="AG29" s="94" t="str">
        <x:f>IF(AND(AG6&gt;=$H29,AG6&lt;=$I29),IF(AG6&lt;=$H29+ROUND($J29*$L29,0)-1,2,1),"")</x:f>
      </x:c>
      <x:c r="AH29" s="94" t="str">
        <x:f>IF(AND(AH6&gt;=$H29,AH6&lt;=$I29),IF(AH6&lt;=$H29+ROUND($J29*$L29,0)-1,2,1),"")</x:f>
      </x:c>
      <x:c r="AI29" s="94" t="str">
        <x:f>IF(AND(AI6&gt;=$H29,AI6&lt;=$I29),IF(AI6&lt;=$H29+ROUND($J29*$L29,0)-1,2,1),"")</x:f>
      </x:c>
      <x:c r="AJ29" s="94" t="str">
        <x:f>IF(AND(AJ6&gt;=$H29,AJ6&lt;=$I29),IF(AJ6&lt;=$H29+ROUND($J29*$L29,0)-1,2,1),"")</x:f>
      </x:c>
      <x:c r="AK29" s="94" t="str">
        <x:f>IF(AND(AK6&gt;=$H29,AK6&lt;=$I29),IF(AK6&lt;=$H29+ROUND($J29*$L29,0)-1,2,1),"")</x:f>
      </x:c>
      <x:c r="AL29" s="94" t="str">
        <x:f>IF(AND(AL6&gt;=$H29,AL6&lt;=$I29),IF(AL6&lt;=$H29+ROUND($J29*$L29,0)-1,2,1),"")</x:f>
      </x:c>
      <x:c r="AM29" s="94" t="str">
        <x:f>IF(AND(AM6&gt;=$H29,AM6&lt;=$I29),IF(AM6&lt;=$H29+ROUND($J29*$L29,0)-1,2,1),"")</x:f>
      </x:c>
      <x:c r="AN29" s="94" t="str">
        <x:f>IF(AND(AN6&gt;=$H29,AN6&lt;=$I29),IF(AN6&lt;=$H29+ROUND($J29*$L29,0)-1,2,1),"")</x:f>
      </x:c>
      <x:c r="AO29" s="94" t="str">
        <x:f>IF(AND(AO6&gt;=$H29,AO6&lt;=$I29),IF(AO6&lt;=$H29+ROUND($J29*$L29,0)-1,2,1),"")</x:f>
      </x:c>
      <x:c r="AP29" s="94" t="str">
        <x:f>IF(AND(AP6&gt;=$H29,AP6&lt;=$I29),IF(AP6&lt;=$H29+ROUND($J29*$L29,0)-1,2,1),"")</x:f>
      </x:c>
      <x:c r="AQ29" s="94" t="str">
        <x:f>IF(AND(AQ6&gt;=$H29,AQ6&lt;=$I29),IF(AQ6&lt;=$H29+ROUND($J29*$L29,0)-1,2,1),"")</x:f>
      </x:c>
      <x:c r="AR29" s="94" t="str">
        <x:f>IF(AND(AR6&gt;=$H29,AR6&lt;=$I29),IF(AR6&lt;=$H29+ROUND($J29*$L29,0)-1,2,1),"")</x:f>
      </x:c>
      <x:c r="AS29" s="94" t="str">
        <x:f>IF(AND(AS6&gt;=$H29,AS6&lt;=$I29),IF(AS6&lt;=$H29+ROUND($J29*$L29,0)-1,2,1),"")</x:f>
      </x:c>
    </x:row>
    <x:row r="30" ht="34" customHeight="1">
      <x:c r="A30" s="74" t="str">
        <x:v>5.1</x:v>
      </x:c>
      <x:c r="B30" s="71" t="str">
        <x:v>系统测试</x:v>
      </x:c>
      <x:c r="C30" s="71" t="str">
        <x:v>构建、类型检查与 API 冒烟</x:v>
      </x:c>
      <x:c r="D30" s="71" t="str">
        <x:v>构建通过、关键接口可访问</x:v>
      </x:c>
      <x:c r="E30" s="71" t="str">
        <x:v>技术部</x:v>
      </x:c>
      <x:c r="F30" s="71" t="str">
        <x:v>任羲宸</x:v>
      </x:c>
      <x:c r="G30" s="71" t="str">
        <x:v>卢志悟</x:v>
      </x:c>
      <x:c r="H30" s="86" t="n">
        <x:v>46244</x:v>
      </x:c>
      <x:c r="I30" s="86" t="n">
        <x:v>46246</x:v>
      </x:c>
      <x:c r="J30" s="80" t="n">
        <x:f>I30-H30+1</x:f>
        <x:v>3</x:v>
      </x:c>
      <x:c r="K30" s="71" t="str">
        <x:v>4.1</x:v>
      </x:c>
      <x:c r="L30" s="89" t="n">
        <x:v>0</x:v>
      </x:c>
      <x:c r="M30" s="74" t="str">
        <x:v>中</x:v>
      </x:c>
      <x:c r="N30" s="74" t="str">
        <x:v>否</x:v>
      </x:c>
      <x:c r="O30" s="94" t="str">
        <x:f>IF(AND(O6&gt;=$H30,O6&lt;=$I30),IF(O6&lt;=$H30+ROUND($J30*$L30,0)-1,2,1),"")</x:f>
      </x:c>
      <x:c r="P30" s="94" t="str">
        <x:f>IF(AND(P6&gt;=$H30,P6&lt;=$I30),IF(P6&lt;=$H30+ROUND($J30*$L30,0)-1,2,1),"")</x:f>
      </x:c>
      <x:c r="Q30" s="94" t="str">
        <x:f>IF(AND(Q6&gt;=$H30,Q6&lt;=$I30),IF(Q6&lt;=$H30+ROUND($J30*$L30,0)-1,2,1),"")</x:f>
      </x:c>
      <x:c r="R30" s="94" t="str">
        <x:f>IF(AND(R6&gt;=$H30,R6&lt;=$I30),IF(R6&lt;=$H30+ROUND($J30*$L30,0)-1,2,1),"")</x:f>
      </x:c>
      <x:c r="S30" s="94" t="str">
        <x:f>IF(AND(S6&gt;=$H30,S6&lt;=$I30),IF(S6&lt;=$H30+ROUND($J30*$L30,0)-1,2,1),"")</x:f>
      </x:c>
      <x:c r="T30" s="94" t="str">
        <x:f>IF(AND(T6&gt;=$H30,T6&lt;=$I30),IF(T6&lt;=$H30+ROUND($J30*$L30,0)-1,2,1),"")</x:f>
      </x:c>
      <x:c r="U30" s="94" t="str">
        <x:f>IF(AND(U6&gt;=$H30,U6&lt;=$I30),IF(U6&lt;=$H30+ROUND($J30*$L30,0)-1,2,1),"")</x:f>
      </x:c>
      <x:c r="V30" s="94" t="n">
        <x:f>IF(AND(V6&gt;=$H30,V6&lt;=$I30),IF(V6&lt;=$H30+ROUND($J30*$L30,0)-1,2,1),"")</x:f>
        <x:v>1</x:v>
      </x:c>
      <x:c r="W30" s="94" t="n">
        <x:f>IF(AND(W6&gt;=$H30,W6&lt;=$I30),IF(W6&lt;=$H30+ROUND($J30*$L30,0)-1,2,1),"")</x:f>
        <x:v>1</x:v>
      </x:c>
      <x:c r="X30" s="94" t="n">
        <x:f>IF(AND(X6&gt;=$H30,X6&lt;=$I30),IF(X6&lt;=$H30+ROUND($J30*$L30,0)-1,2,1),"")</x:f>
        <x:v>1</x:v>
      </x:c>
      <x:c r="Y30" s="94" t="str">
        <x:f>IF(AND(Y6&gt;=$H30,Y6&lt;=$I30),IF(Y6&lt;=$H30+ROUND($J30*$L30,0)-1,2,1),"")</x:f>
      </x:c>
      <x:c r="Z30" s="94" t="str">
        <x:f>IF(AND(Z6&gt;=$H30,Z6&lt;=$I30),IF(Z6&lt;=$H30+ROUND($J30*$L30,0)-1,2,1),"")</x:f>
      </x:c>
      <x:c r="AA30" s="94" t="str">
        <x:f>IF(AND(AA6&gt;=$H30,AA6&lt;=$I30),IF(AA6&lt;=$H30+ROUND($J30*$L30,0)-1,2,1),"")</x:f>
      </x:c>
      <x:c r="AB30" s="94" t="str">
        <x:f>IF(AND(AB6&gt;=$H30,AB6&lt;=$I30),IF(AB6&lt;=$H30+ROUND($J30*$L30,0)-1,2,1),"")</x:f>
      </x:c>
      <x:c r="AC30" s="94" t="str">
        <x:f>IF(AND(AC6&gt;=$H30,AC6&lt;=$I30),IF(AC6&lt;=$H30+ROUND($J30*$L30,0)-1,2,1),"")</x:f>
      </x:c>
      <x:c r="AD30" s="94" t="str">
        <x:f>IF(AND(AD6&gt;=$H30,AD6&lt;=$I30),IF(AD6&lt;=$H30+ROUND($J30*$L30,0)-1,2,1),"")</x:f>
      </x:c>
      <x:c r="AE30" s="94" t="str">
        <x:f>IF(AND(AE6&gt;=$H30,AE6&lt;=$I30),IF(AE6&lt;=$H30+ROUND($J30*$L30,0)-1,2,1),"")</x:f>
      </x:c>
      <x:c r="AF30" s="94" t="str">
        <x:f>IF(AND(AF6&gt;=$H30,AF6&lt;=$I30),IF(AF6&lt;=$H30+ROUND($J30*$L30,0)-1,2,1),"")</x:f>
      </x:c>
      <x:c r="AG30" s="94" t="str">
        <x:f>IF(AND(AG6&gt;=$H30,AG6&lt;=$I30),IF(AG6&lt;=$H30+ROUND($J30*$L30,0)-1,2,1),"")</x:f>
      </x:c>
      <x:c r="AH30" s="94" t="str">
        <x:f>IF(AND(AH6&gt;=$H30,AH6&lt;=$I30),IF(AH6&lt;=$H30+ROUND($J30*$L30,0)-1,2,1),"")</x:f>
      </x:c>
      <x:c r="AI30" s="94" t="str">
        <x:f>IF(AND(AI6&gt;=$H30,AI6&lt;=$I30),IF(AI6&lt;=$H30+ROUND($J30*$L30,0)-1,2,1),"")</x:f>
      </x:c>
      <x:c r="AJ30" s="94" t="str">
        <x:f>IF(AND(AJ6&gt;=$H30,AJ6&lt;=$I30),IF(AJ6&lt;=$H30+ROUND($J30*$L30,0)-1,2,1),"")</x:f>
      </x:c>
      <x:c r="AK30" s="94" t="str">
        <x:f>IF(AND(AK6&gt;=$H30,AK6&lt;=$I30),IF(AK6&lt;=$H30+ROUND($J30*$L30,0)-1,2,1),"")</x:f>
      </x:c>
      <x:c r="AL30" s="94" t="str">
        <x:f>IF(AND(AL6&gt;=$H30,AL6&lt;=$I30),IF(AL6&lt;=$H30+ROUND($J30*$L30,0)-1,2,1),"")</x:f>
      </x:c>
      <x:c r="AM30" s="94" t="str">
        <x:f>IF(AND(AM6&gt;=$H30,AM6&lt;=$I30),IF(AM6&lt;=$H30+ROUND($J30*$L30,0)-1,2,1),"")</x:f>
      </x:c>
      <x:c r="AN30" s="94" t="str">
        <x:f>IF(AND(AN6&gt;=$H30,AN6&lt;=$I30),IF(AN6&lt;=$H30+ROUND($J30*$L30,0)-1,2,1),"")</x:f>
      </x:c>
      <x:c r="AO30" s="94" t="str">
        <x:f>IF(AND(AO6&gt;=$H30,AO6&lt;=$I30),IF(AO6&lt;=$H30+ROUND($J30*$L30,0)-1,2,1),"")</x:f>
      </x:c>
      <x:c r="AP30" s="94" t="str">
        <x:f>IF(AND(AP6&gt;=$H30,AP6&lt;=$I30),IF(AP6&lt;=$H30+ROUND($J30*$L30,0)-1,2,1),"")</x:f>
      </x:c>
      <x:c r="AQ30" s="94" t="str">
        <x:f>IF(AND(AQ6&gt;=$H30,AQ6&lt;=$I30),IF(AQ6&lt;=$H30+ROUND($J30*$L30,0)-1,2,1),"")</x:f>
      </x:c>
      <x:c r="AR30" s="94" t="str">
        <x:f>IF(AND(AR6&gt;=$H30,AR6&lt;=$I30),IF(AR6&lt;=$H30+ROUND($J30*$L30,0)-1,2,1),"")</x:f>
      </x:c>
      <x:c r="AS30" s="94" t="str">
        <x:f>IF(AND(AS6&gt;=$H30,AS6&lt;=$I30),IF(AS6&lt;=$H30+ROUND($J30*$L30,0)-1,2,1),"")</x:f>
      </x:c>
    </x:row>
    <x:row r="31" ht="34" customHeight="1">
      <x:c r="A31" s="74" t="str">
        <x:v>5.2</x:v>
      </x:c>
      <x:c r="B31" s="71" t="str">
        <x:v>系统测试</x:v>
      </x:c>
      <x:c r="C31" s="71" t="str">
        <x:v>三大业务场景回归测试</x:v>
      </x:c>
      <x:c r="D31" s="71" t="str">
        <x:v>销售闭环、盘点、领用用例通过</x:v>
      </x:c>
      <x:c r="E31" s="71" t="str">
        <x:v>技术部+业务部门</x:v>
      </x:c>
      <x:c r="F31" s="71" t="str">
        <x:v>任羲宸</x:v>
      </x:c>
      <x:c r="G31" s="71" t="str">
        <x:v>卢志悟</x:v>
      </x:c>
      <x:c r="H31" s="86" t="n">
        <x:v>46246</x:v>
      </x:c>
      <x:c r="I31" s="86" t="n">
        <x:v>46249</x:v>
      </x:c>
      <x:c r="J31" s="80" t="n">
        <x:f>I31-H31+1</x:f>
        <x:v>4</x:v>
      </x:c>
      <x:c r="K31" s="71" t="str">
        <x:v>4.5,5.1</x:v>
      </x:c>
      <x:c r="L31" s="89" t="n">
        <x:v>0</x:v>
      </x:c>
      <x:c r="M31" s="74" t="str">
        <x:v>高</x:v>
      </x:c>
      <x:c r="N31" s="74" t="str">
        <x:v>是</x:v>
      </x:c>
      <x:c r="O31" s="94" t="str">
        <x:f>IF(AND(O6&gt;=$H31,O6&lt;=$I31),IF(O6&lt;=$H31+ROUND($J31*$L31,0)-1,2,1),"")</x:f>
      </x:c>
      <x:c r="P31" s="94" t="str">
        <x:f>IF(AND(P6&gt;=$H31,P6&lt;=$I31),IF(P6&lt;=$H31+ROUND($J31*$L31,0)-1,2,1),"")</x:f>
      </x:c>
      <x:c r="Q31" s="94" t="str">
        <x:f>IF(AND(Q6&gt;=$H31,Q6&lt;=$I31),IF(Q6&lt;=$H31+ROUND($J31*$L31,0)-1,2,1),"")</x:f>
      </x:c>
      <x:c r="R31" s="94" t="str">
        <x:f>IF(AND(R6&gt;=$H31,R6&lt;=$I31),IF(R6&lt;=$H31+ROUND($J31*$L31,0)-1,2,1),"")</x:f>
      </x:c>
      <x:c r="S31" s="94" t="str">
        <x:f>IF(AND(S6&gt;=$H31,S6&lt;=$I31),IF(S6&lt;=$H31+ROUND($J31*$L31,0)-1,2,1),"")</x:f>
      </x:c>
      <x:c r="T31" s="94" t="str">
        <x:f>IF(AND(T6&gt;=$H31,T6&lt;=$I31),IF(T6&lt;=$H31+ROUND($J31*$L31,0)-1,2,1),"")</x:f>
      </x:c>
      <x:c r="U31" s="94" t="str">
        <x:f>IF(AND(U6&gt;=$H31,U6&lt;=$I31),IF(U6&lt;=$H31+ROUND($J31*$L31,0)-1,2,1),"")</x:f>
      </x:c>
      <x:c r="V31" s="94" t="str">
        <x:f>IF(AND(V6&gt;=$H31,V6&lt;=$I31),IF(V6&lt;=$H31+ROUND($J31*$L31,0)-1,2,1),"")</x:f>
      </x:c>
      <x:c r="W31" s="94" t="str">
        <x:f>IF(AND(W6&gt;=$H31,W6&lt;=$I31),IF(W6&lt;=$H31+ROUND($J31*$L31,0)-1,2,1),"")</x:f>
      </x:c>
      <x:c r="X31" s="94" t="n">
        <x:f>IF(AND(X6&gt;=$H31,X6&lt;=$I31),IF(X6&lt;=$H31+ROUND($J31*$L31,0)-1,2,1),"")</x:f>
        <x:v>1</x:v>
      </x:c>
      <x:c r="Y31" s="94" t="n">
        <x:f>IF(AND(Y6&gt;=$H31,Y6&lt;=$I31),IF(Y6&lt;=$H31+ROUND($J31*$L31,0)-1,2,1),"")</x:f>
        <x:v>1</x:v>
      </x:c>
      <x:c r="Z31" s="94" t="n">
        <x:f>IF(AND(Z6&gt;=$H31,Z6&lt;=$I31),IF(Z6&lt;=$H31+ROUND($J31*$L31,0)-1,2,1),"")</x:f>
        <x:v>1</x:v>
      </x:c>
      <x:c r="AA31" s="94" t="n">
        <x:f>IF(AND(AA6&gt;=$H31,AA6&lt;=$I31),IF(AA6&lt;=$H31+ROUND($J31*$L31,0)-1,2,1),"")</x:f>
        <x:v>1</x:v>
      </x:c>
      <x:c r="AB31" s="94" t="str">
        <x:f>IF(AND(AB6&gt;=$H31,AB6&lt;=$I31),IF(AB6&lt;=$H31+ROUND($J31*$L31,0)-1,2,1),"")</x:f>
      </x:c>
      <x:c r="AC31" s="94" t="str">
        <x:f>IF(AND(AC6&gt;=$H31,AC6&lt;=$I31),IF(AC6&lt;=$H31+ROUND($J31*$L31,0)-1,2,1),"")</x:f>
      </x:c>
      <x:c r="AD31" s="94" t="str">
        <x:f>IF(AND(AD6&gt;=$H31,AD6&lt;=$I31),IF(AD6&lt;=$H31+ROUND($J31*$L31,0)-1,2,1),"")</x:f>
      </x:c>
      <x:c r="AE31" s="94" t="str">
        <x:f>IF(AND(AE6&gt;=$H31,AE6&lt;=$I31),IF(AE6&lt;=$H31+ROUND($J31*$L31,0)-1,2,1),"")</x:f>
      </x:c>
      <x:c r="AF31" s="94" t="str">
        <x:f>IF(AND(AF6&gt;=$H31,AF6&lt;=$I31),IF(AF6&lt;=$H31+ROUND($J31*$L31,0)-1,2,1),"")</x:f>
      </x:c>
      <x:c r="AG31" s="94" t="str">
        <x:f>IF(AND(AG6&gt;=$H31,AG6&lt;=$I31),IF(AG6&lt;=$H31+ROUND($J31*$L31,0)-1,2,1),"")</x:f>
      </x:c>
      <x:c r="AH31" s="94" t="str">
        <x:f>IF(AND(AH6&gt;=$H31,AH6&lt;=$I31),IF(AH6&lt;=$H31+ROUND($J31*$L31,0)-1,2,1),"")</x:f>
      </x:c>
      <x:c r="AI31" s="94" t="str">
        <x:f>IF(AND(AI6&gt;=$H31,AI6&lt;=$I31),IF(AI6&lt;=$H31+ROUND($J31*$L31,0)-1,2,1),"")</x:f>
      </x:c>
      <x:c r="AJ31" s="94" t="str">
        <x:f>IF(AND(AJ6&gt;=$H31,AJ6&lt;=$I31),IF(AJ6&lt;=$H31+ROUND($J31*$L31,0)-1,2,1),"")</x:f>
      </x:c>
      <x:c r="AK31" s="94" t="str">
        <x:f>IF(AND(AK6&gt;=$H31,AK6&lt;=$I31),IF(AK6&lt;=$H31+ROUND($J31*$L31,0)-1,2,1),"")</x:f>
      </x:c>
      <x:c r="AL31" s="94" t="str">
        <x:f>IF(AND(AL6&gt;=$H31,AL6&lt;=$I31),IF(AL6&lt;=$H31+ROUND($J31*$L31,0)-1,2,1),"")</x:f>
      </x:c>
      <x:c r="AM31" s="94" t="str">
        <x:f>IF(AND(AM6&gt;=$H31,AM6&lt;=$I31),IF(AM6&lt;=$H31+ROUND($J31*$L31,0)-1,2,1),"")</x:f>
      </x:c>
      <x:c r="AN31" s="94" t="str">
        <x:f>IF(AND(AN6&gt;=$H31,AN6&lt;=$I31),IF(AN6&lt;=$H31+ROUND($J31*$L31,0)-1,2,1),"")</x:f>
      </x:c>
      <x:c r="AO31" s="94" t="str">
        <x:f>IF(AND(AO6&gt;=$H31,AO6&lt;=$I31),IF(AO6&lt;=$H31+ROUND($J31*$L31,0)-1,2,1),"")</x:f>
      </x:c>
      <x:c r="AP31" s="94" t="str">
        <x:f>IF(AND(AP6&gt;=$H31,AP6&lt;=$I31),IF(AP6&lt;=$H31+ROUND($J31*$L31,0)-1,2,1),"")</x:f>
      </x:c>
      <x:c r="AQ31" s="94" t="str">
        <x:f>IF(AND(AQ6&gt;=$H31,AQ6&lt;=$I31),IF(AQ6&lt;=$H31+ROUND($J31*$L31,0)-1,2,1),"")</x:f>
      </x:c>
      <x:c r="AR31" s="94" t="str">
        <x:f>IF(AND(AR6&gt;=$H31,AR6&lt;=$I31),IF(AR6&lt;=$H31+ROUND($J31*$L31,0)-1,2,1),"")</x:f>
      </x:c>
      <x:c r="AS31" s="94" t="str">
        <x:f>IF(AND(AS6&gt;=$H31,AS6&lt;=$I31),IF(AS6&lt;=$H31+ROUND($J31*$L31,0)-1,2,1),"")</x:f>
      </x:c>
    </x:row>
    <x:row r="32" ht="34" customHeight="1">
      <x:c r="A32" s="74" t="str">
        <x:v>5.3</x:v>
      </x:c>
      <x:c r="B32" s="71" t="str">
        <x:v>系统测试</x:v>
      </x:c>
      <x:c r="C32" s="71" t="str">
        <x:v>数据、权限与审批专项测试</x:v>
      </x:c>
      <x:c r="D32" s="71" t="str">
        <x:v>数据准确且无越权</x:v>
      </x:c>
      <x:c r="E32" s="71" t="str">
        <x:v>技术部</x:v>
      </x:c>
      <x:c r="F32" s="71" t="str">
        <x:v>任羲宸</x:v>
      </x:c>
      <x:c r="G32" s="71" t="str">
        <x:v>卢志悟</x:v>
      </x:c>
      <x:c r="H32" s="86" t="n">
        <x:v>46248</x:v>
      </x:c>
      <x:c r="I32" s="86" t="n">
        <x:v>46250</x:v>
      </x:c>
      <x:c r="J32" s="80" t="n">
        <x:f>I32-H32+1</x:f>
        <x:v>3</x:v>
      </x:c>
      <x:c r="K32" s="71" t="str">
        <x:v>2.6,5.1</x:v>
      </x:c>
      <x:c r="L32" s="89" t="n">
        <x:v>0</x:v>
      </x:c>
      <x:c r="M32" s="74" t="str">
        <x:v>高</x:v>
      </x:c>
      <x:c r="N32" s="74" t="str">
        <x:v>是</x:v>
      </x:c>
      <x:c r="O32" s="94" t="str">
        <x:f>IF(AND(O6&gt;=$H32,O6&lt;=$I32),IF(O6&lt;=$H32+ROUND($J32*$L32,0)-1,2,1),"")</x:f>
      </x:c>
      <x:c r="P32" s="94" t="str">
        <x:f>IF(AND(P6&gt;=$H32,P6&lt;=$I32),IF(P6&lt;=$H32+ROUND($J32*$L32,0)-1,2,1),"")</x:f>
      </x:c>
      <x:c r="Q32" s="94" t="str">
        <x:f>IF(AND(Q6&gt;=$H32,Q6&lt;=$I32),IF(Q6&lt;=$H32+ROUND($J32*$L32,0)-1,2,1),"")</x:f>
      </x:c>
      <x:c r="R32" s="94" t="str">
        <x:f>IF(AND(R6&gt;=$H32,R6&lt;=$I32),IF(R6&lt;=$H32+ROUND($J32*$L32,0)-1,2,1),"")</x:f>
      </x:c>
      <x:c r="S32" s="94" t="str">
        <x:f>IF(AND(S6&gt;=$H32,S6&lt;=$I32),IF(S6&lt;=$H32+ROUND($J32*$L32,0)-1,2,1),"")</x:f>
      </x:c>
      <x:c r="T32" s="94" t="str">
        <x:f>IF(AND(T6&gt;=$H32,T6&lt;=$I32),IF(T6&lt;=$H32+ROUND($J32*$L32,0)-1,2,1),"")</x:f>
      </x:c>
      <x:c r="U32" s="94" t="str">
        <x:f>IF(AND(U6&gt;=$H32,U6&lt;=$I32),IF(U6&lt;=$H32+ROUND($J32*$L32,0)-1,2,1),"")</x:f>
      </x:c>
      <x:c r="V32" s="94" t="str">
        <x:f>IF(AND(V6&gt;=$H32,V6&lt;=$I32),IF(V6&lt;=$H32+ROUND($J32*$L32,0)-1,2,1),"")</x:f>
      </x:c>
      <x:c r="W32" s="94" t="str">
        <x:f>IF(AND(W6&gt;=$H32,W6&lt;=$I32),IF(W6&lt;=$H32+ROUND($J32*$L32,0)-1,2,1),"")</x:f>
      </x:c>
      <x:c r="X32" s="94" t="str">
        <x:f>IF(AND(X6&gt;=$H32,X6&lt;=$I32),IF(X6&lt;=$H32+ROUND($J32*$L32,0)-1,2,1),"")</x:f>
      </x:c>
      <x:c r="Y32" s="94" t="str">
        <x:f>IF(AND(Y6&gt;=$H32,Y6&lt;=$I32),IF(Y6&lt;=$H32+ROUND($J32*$L32,0)-1,2,1),"")</x:f>
      </x:c>
      <x:c r="Z32" s="94" t="n">
        <x:f>IF(AND(Z6&gt;=$H32,Z6&lt;=$I32),IF(Z6&lt;=$H32+ROUND($J32*$L32,0)-1,2,1),"")</x:f>
        <x:v>1</x:v>
      </x:c>
      <x:c r="AA32" s="94" t="n">
        <x:f>IF(AND(AA6&gt;=$H32,AA6&lt;=$I32),IF(AA6&lt;=$H32+ROUND($J32*$L32,0)-1,2,1),"")</x:f>
        <x:v>1</x:v>
      </x:c>
      <x:c r="AB32" s="94" t="n">
        <x:f>IF(AND(AB6&gt;=$H32,AB6&lt;=$I32),IF(AB6&lt;=$H32+ROUND($J32*$L32,0)-1,2,1),"")</x:f>
        <x:v>1</x:v>
      </x:c>
      <x:c r="AC32" s="94" t="str">
        <x:f>IF(AND(AC6&gt;=$H32,AC6&lt;=$I32),IF(AC6&lt;=$H32+ROUND($J32*$L32,0)-1,2,1),"")</x:f>
      </x:c>
      <x:c r="AD32" s="94" t="str">
        <x:f>IF(AND(AD6&gt;=$H32,AD6&lt;=$I32),IF(AD6&lt;=$H32+ROUND($J32*$L32,0)-1,2,1),"")</x:f>
      </x:c>
      <x:c r="AE32" s="94" t="str">
        <x:f>IF(AND(AE6&gt;=$H32,AE6&lt;=$I32),IF(AE6&lt;=$H32+ROUND($J32*$L32,0)-1,2,1),"")</x:f>
      </x:c>
      <x:c r="AF32" s="94" t="str">
        <x:f>IF(AND(AF6&gt;=$H32,AF6&lt;=$I32),IF(AF6&lt;=$H32+ROUND($J32*$L32,0)-1,2,1),"")</x:f>
      </x:c>
      <x:c r="AG32" s="94" t="str">
        <x:f>IF(AND(AG6&gt;=$H32,AG6&lt;=$I32),IF(AG6&lt;=$H32+ROUND($J32*$L32,0)-1,2,1),"")</x:f>
      </x:c>
      <x:c r="AH32" s="94" t="str">
        <x:f>IF(AND(AH6&gt;=$H32,AH6&lt;=$I32),IF(AH6&lt;=$H32+ROUND($J32*$L32,0)-1,2,1),"")</x:f>
      </x:c>
      <x:c r="AI32" s="94" t="str">
        <x:f>IF(AND(AI6&gt;=$H32,AI6&lt;=$I32),IF(AI6&lt;=$H32+ROUND($J32*$L32,0)-1,2,1),"")</x:f>
      </x:c>
      <x:c r="AJ32" s="94" t="str">
        <x:f>IF(AND(AJ6&gt;=$H32,AJ6&lt;=$I32),IF(AJ6&lt;=$H32+ROUND($J32*$L32,0)-1,2,1),"")</x:f>
      </x:c>
      <x:c r="AK32" s="94" t="str">
        <x:f>IF(AND(AK6&gt;=$H32,AK6&lt;=$I32),IF(AK6&lt;=$H32+ROUND($J32*$L32,0)-1,2,1),"")</x:f>
      </x:c>
      <x:c r="AL32" s="94" t="str">
        <x:f>IF(AND(AL6&gt;=$H32,AL6&lt;=$I32),IF(AL6&lt;=$H32+ROUND($J32*$L32,0)-1,2,1),"")</x:f>
      </x:c>
      <x:c r="AM32" s="94" t="str">
        <x:f>IF(AND(AM6&gt;=$H32,AM6&lt;=$I32),IF(AM6&lt;=$H32+ROUND($J32*$L32,0)-1,2,1),"")</x:f>
      </x:c>
      <x:c r="AN32" s="94" t="str">
        <x:f>IF(AND(AN6&gt;=$H32,AN6&lt;=$I32),IF(AN6&lt;=$H32+ROUND($J32*$L32,0)-1,2,1),"")</x:f>
      </x:c>
      <x:c r="AO32" s="94" t="str">
        <x:f>IF(AND(AO6&gt;=$H32,AO6&lt;=$I32),IF(AO6&lt;=$H32+ROUND($J32*$L32,0)-1,2,1),"")</x:f>
      </x:c>
      <x:c r="AP32" s="94" t="str">
        <x:f>IF(AND(AP6&gt;=$H32,AP6&lt;=$I32),IF(AP6&lt;=$H32+ROUND($J32*$L32,0)-1,2,1),"")</x:f>
      </x:c>
      <x:c r="AQ32" s="94" t="str">
        <x:f>IF(AND(AQ6&gt;=$H32,AQ6&lt;=$I32),IF(AQ6&lt;=$H32+ROUND($J32*$L32,0)-1,2,1),"")</x:f>
      </x:c>
      <x:c r="AR32" s="94" t="str">
        <x:f>IF(AND(AR6&gt;=$H32,AR6&lt;=$I32),IF(AR6&lt;=$H32+ROUND($J32*$L32,0)-1,2,1),"")</x:f>
      </x:c>
      <x:c r="AS32" s="94" t="str">
        <x:f>IF(AND(AS6&gt;=$H32,AS6&lt;=$I32),IF(AS6&lt;=$H32+ROUND($J32*$L32,0)-1,2,1),"")</x:f>
      </x:c>
    </x:row>
    <x:row r="33" ht="34" customHeight="1">
      <x:c r="A33" s="74" t="str">
        <x:v>5.4</x:v>
      </x:c>
      <x:c r="B33" s="71" t="str">
        <x:v>系统测试</x:v>
      </x:c>
      <x:c r="C33" s="71" t="str">
        <x:v>外部接口回归测试</x:v>
      </x:c>
      <x:c r="D33" s="71" t="str">
        <x:v>三套外部系统交换稳定</x:v>
      </x:c>
      <x:c r="E33" s="71" t="str">
        <x:v>技术部+外部系统方</x:v>
      </x:c>
      <x:c r="F33" s="71" t="str">
        <x:v>任羲宸</x:v>
      </x:c>
      <x:c r="G33" s="71" t="str">
        <x:v>卢志悟</x:v>
      </x:c>
      <x:c r="H33" s="86" t="n">
        <x:v>46250</x:v>
      </x:c>
      <x:c r="I33" s="86" t="n">
        <x:v>46251</x:v>
      </x:c>
      <x:c r="J33" s="80" t="n">
        <x:f>I33-H33+1</x:f>
        <x:v>2</x:v>
      </x:c>
      <x:c r="K33" s="71" t="str">
        <x:v>3.7</x:v>
      </x:c>
      <x:c r="L33" s="89" t="n">
        <x:v>0</x:v>
      </x:c>
      <x:c r="M33" s="74" t="str">
        <x:v>高</x:v>
      </x:c>
      <x:c r="N33" s="74" t="str">
        <x:v>是</x:v>
      </x:c>
      <x:c r="O33" s="94" t="str">
        <x:f>IF(AND(O6&gt;=$H33,O6&lt;=$I33),IF(O6&lt;=$H33+ROUND($J33*$L33,0)-1,2,1),"")</x:f>
      </x:c>
      <x:c r="P33" s="94" t="str">
        <x:f>IF(AND(P6&gt;=$H33,P6&lt;=$I33),IF(P6&lt;=$H33+ROUND($J33*$L33,0)-1,2,1),"")</x:f>
      </x:c>
      <x:c r="Q33" s="94" t="str">
        <x:f>IF(AND(Q6&gt;=$H33,Q6&lt;=$I33),IF(Q6&lt;=$H33+ROUND($J33*$L33,0)-1,2,1),"")</x:f>
      </x:c>
      <x:c r="R33" s="94" t="str">
        <x:f>IF(AND(R6&gt;=$H33,R6&lt;=$I33),IF(R6&lt;=$H33+ROUND($J33*$L33,0)-1,2,1),"")</x:f>
      </x:c>
      <x:c r="S33" s="94" t="str">
        <x:f>IF(AND(S6&gt;=$H33,S6&lt;=$I33),IF(S6&lt;=$H33+ROUND($J33*$L33,0)-1,2,1),"")</x:f>
      </x:c>
      <x:c r="T33" s="94" t="str">
        <x:f>IF(AND(T6&gt;=$H33,T6&lt;=$I33),IF(T6&lt;=$H33+ROUND($J33*$L33,0)-1,2,1),"")</x:f>
      </x:c>
      <x:c r="U33" s="94" t="str">
        <x:f>IF(AND(U6&gt;=$H33,U6&lt;=$I33),IF(U6&lt;=$H33+ROUND($J33*$L33,0)-1,2,1),"")</x:f>
      </x:c>
      <x:c r="V33" s="94" t="str">
        <x:f>IF(AND(V6&gt;=$H33,V6&lt;=$I33),IF(V6&lt;=$H33+ROUND($J33*$L33,0)-1,2,1),"")</x:f>
      </x:c>
      <x:c r="W33" s="94" t="str">
        <x:f>IF(AND(W6&gt;=$H33,W6&lt;=$I33),IF(W6&lt;=$H33+ROUND($J33*$L33,0)-1,2,1),"")</x:f>
      </x:c>
      <x:c r="X33" s="94" t="str">
        <x:f>IF(AND(X6&gt;=$H33,X6&lt;=$I33),IF(X6&lt;=$H33+ROUND($J33*$L33,0)-1,2,1),"")</x:f>
      </x:c>
      <x:c r="Y33" s="94" t="str">
        <x:f>IF(AND(Y6&gt;=$H33,Y6&lt;=$I33),IF(Y6&lt;=$H33+ROUND($J33*$L33,0)-1,2,1),"")</x:f>
      </x:c>
      <x:c r="Z33" s="94" t="str">
        <x:f>IF(AND(Z6&gt;=$H33,Z6&lt;=$I33),IF(Z6&lt;=$H33+ROUND($J33*$L33,0)-1,2,1),"")</x:f>
      </x:c>
      <x:c r="AA33" s="94" t="str">
        <x:f>IF(AND(AA6&gt;=$H33,AA6&lt;=$I33),IF(AA6&lt;=$H33+ROUND($J33*$L33,0)-1,2,1),"")</x:f>
      </x:c>
      <x:c r="AB33" s="94" t="n">
        <x:f>IF(AND(AB6&gt;=$H33,AB6&lt;=$I33),IF(AB6&lt;=$H33+ROUND($J33*$L33,0)-1,2,1),"")</x:f>
        <x:v>1</x:v>
      </x:c>
      <x:c r="AC33" s="94" t="n">
        <x:f>IF(AND(AC6&gt;=$H33,AC6&lt;=$I33),IF(AC6&lt;=$H33+ROUND($J33*$L33,0)-1,2,1),"")</x:f>
        <x:v>1</x:v>
      </x:c>
      <x:c r="AD33" s="94" t="str">
        <x:f>IF(AND(AD6&gt;=$H33,AD6&lt;=$I33),IF(AD6&lt;=$H33+ROUND($J33*$L33,0)-1,2,1),"")</x:f>
      </x:c>
      <x:c r="AE33" s="94" t="str">
        <x:f>IF(AND(AE6&gt;=$H33,AE6&lt;=$I33),IF(AE6&lt;=$H33+ROUND($J33*$L33,0)-1,2,1),"")</x:f>
      </x:c>
      <x:c r="AF33" s="94" t="str">
        <x:f>IF(AND(AF6&gt;=$H33,AF6&lt;=$I33),IF(AF6&lt;=$H33+ROUND($J33*$L33,0)-1,2,1),"")</x:f>
      </x:c>
      <x:c r="AG33" s="94" t="str">
        <x:f>IF(AND(AG6&gt;=$H33,AG6&lt;=$I33),IF(AG6&lt;=$H33+ROUND($J33*$L33,0)-1,2,1),"")</x:f>
      </x:c>
      <x:c r="AH33" s="94" t="str">
        <x:f>IF(AND(AH6&gt;=$H33,AH6&lt;=$I33),IF(AH6&lt;=$H33+ROUND($J33*$L33,0)-1,2,1),"")</x:f>
      </x:c>
      <x:c r="AI33" s="94" t="str">
        <x:f>IF(AND(AI6&gt;=$H33,AI6&lt;=$I33),IF(AI6&lt;=$H33+ROUND($J33*$L33,0)-1,2,1),"")</x:f>
      </x:c>
      <x:c r="AJ33" s="94" t="str">
        <x:f>IF(AND(AJ6&gt;=$H33,AJ6&lt;=$I33),IF(AJ6&lt;=$H33+ROUND($J33*$L33,0)-1,2,1),"")</x:f>
      </x:c>
      <x:c r="AK33" s="94" t="str">
        <x:f>IF(AND(AK6&gt;=$H33,AK6&lt;=$I33),IF(AK6&lt;=$H33+ROUND($J33*$L33,0)-1,2,1),"")</x:f>
      </x:c>
      <x:c r="AL33" s="94" t="str">
        <x:f>IF(AND(AL6&gt;=$H33,AL6&lt;=$I33),IF(AL6&lt;=$H33+ROUND($J33*$L33,0)-1,2,1),"")</x:f>
      </x:c>
      <x:c r="AM33" s="94" t="str">
        <x:f>IF(AND(AM6&gt;=$H33,AM6&lt;=$I33),IF(AM6&lt;=$H33+ROUND($J33*$L33,0)-1,2,1),"")</x:f>
      </x:c>
      <x:c r="AN33" s="94" t="str">
        <x:f>IF(AND(AN6&gt;=$H33,AN6&lt;=$I33),IF(AN6&lt;=$H33+ROUND($J33*$L33,0)-1,2,1),"")</x:f>
      </x:c>
      <x:c r="AO33" s="94" t="str">
        <x:f>IF(AND(AO6&gt;=$H33,AO6&lt;=$I33),IF(AO6&lt;=$H33+ROUND($J33*$L33,0)-1,2,1),"")</x:f>
      </x:c>
      <x:c r="AP33" s="94" t="str">
        <x:f>IF(AND(AP6&gt;=$H33,AP6&lt;=$I33),IF(AP6&lt;=$H33+ROUND($J33*$L33,0)-1,2,1),"")</x:f>
      </x:c>
      <x:c r="AQ33" s="94" t="str">
        <x:f>IF(AND(AQ6&gt;=$H33,AQ6&lt;=$I33),IF(AQ6&lt;=$H33+ROUND($J33*$L33,0)-1,2,1),"")</x:f>
      </x:c>
      <x:c r="AR33" s="94" t="str">
        <x:f>IF(AND(AR6&gt;=$H33,AR6&lt;=$I33),IF(AR6&lt;=$H33+ROUND($J33*$L33,0)-1,2,1),"")</x:f>
      </x:c>
      <x:c r="AS33" s="94" t="str">
        <x:f>IF(AND(AS6&gt;=$H33,AS6&lt;=$I33),IF(AS6&lt;=$H33+ROUND($J33*$L33,0)-1,2,1),"")</x:f>
      </x:c>
    </x:row>
    <x:row r="34" ht="34" customHeight="1">
      <x:c r="A34" s="74" t="str">
        <x:v>5.5</x:v>
      </x:c>
      <x:c r="B34" s="71" t="str">
        <x:v>系统测试</x:v>
      </x:c>
      <x:c r="C34" s="71" t="str">
        <x:v>用户验收测试（UAT）</x:v>
      </x:c>
      <x:c r="D34" s="71" t="str">
        <x:v>UAT问题清单与业务签字</x:v>
      </x:c>
      <x:c r="E34" s="71" t="str">
        <x:v>各业务部门</x:v>
      </x:c>
      <x:c r="F34" s="71" t="str">
        <x:v>任羲宸</x:v>
      </x:c>
      <x:c r="G34" s="71" t="str">
        <x:v>卢志悟</x:v>
      </x:c>
      <x:c r="H34" s="86" t="n">
        <x:v>46252</x:v>
      </x:c>
      <x:c r="I34" s="86" t="n">
        <x:v>46253</x:v>
      </x:c>
      <x:c r="J34" s="80" t="n">
        <x:f>I34-H34+1</x:f>
        <x:v>2</x:v>
      </x:c>
      <x:c r="K34" s="71" t="str">
        <x:v>5.2,5.3,5.4</x:v>
      </x:c>
      <x:c r="L34" s="89" t="n">
        <x:v>0</x:v>
      </x:c>
      <x:c r="M34" s="74" t="str">
        <x:v>高</x:v>
      </x:c>
      <x:c r="N34" s="74" t="str">
        <x:v>是</x:v>
      </x:c>
      <x:c r="O34" s="94" t="str">
        <x:f>IF(AND(O6&gt;=$H34,O6&lt;=$I34),IF(O6&lt;=$H34+ROUND($J34*$L34,0)-1,2,1),"")</x:f>
      </x:c>
      <x:c r="P34" s="94" t="str">
        <x:f>IF(AND(P6&gt;=$H34,P6&lt;=$I34),IF(P6&lt;=$H34+ROUND($J34*$L34,0)-1,2,1),"")</x:f>
      </x:c>
      <x:c r="Q34" s="94" t="str">
        <x:f>IF(AND(Q6&gt;=$H34,Q6&lt;=$I34),IF(Q6&lt;=$H34+ROUND($J34*$L34,0)-1,2,1),"")</x:f>
      </x:c>
      <x:c r="R34" s="94" t="str">
        <x:f>IF(AND(R6&gt;=$H34,R6&lt;=$I34),IF(R6&lt;=$H34+ROUND($J34*$L34,0)-1,2,1),"")</x:f>
      </x:c>
      <x:c r="S34" s="94" t="str">
        <x:f>IF(AND(S6&gt;=$H34,S6&lt;=$I34),IF(S6&lt;=$H34+ROUND($J34*$L34,0)-1,2,1),"")</x:f>
      </x:c>
      <x:c r="T34" s="94" t="str">
        <x:f>IF(AND(T6&gt;=$H34,T6&lt;=$I34),IF(T6&lt;=$H34+ROUND($J34*$L34,0)-1,2,1),"")</x:f>
      </x:c>
      <x:c r="U34" s="94" t="str">
        <x:f>IF(AND(U6&gt;=$H34,U6&lt;=$I34),IF(U6&lt;=$H34+ROUND($J34*$L34,0)-1,2,1),"")</x:f>
      </x:c>
      <x:c r="V34" s="94" t="str">
        <x:f>IF(AND(V6&gt;=$H34,V6&lt;=$I34),IF(V6&lt;=$H34+ROUND($J34*$L34,0)-1,2,1),"")</x:f>
      </x:c>
      <x:c r="W34" s="94" t="str">
        <x:f>IF(AND(W6&gt;=$H34,W6&lt;=$I34),IF(W6&lt;=$H34+ROUND($J34*$L34,0)-1,2,1),"")</x:f>
      </x:c>
      <x:c r="X34" s="94" t="str">
        <x:f>IF(AND(X6&gt;=$H34,X6&lt;=$I34),IF(X6&lt;=$H34+ROUND($J34*$L34,0)-1,2,1),"")</x:f>
      </x:c>
      <x:c r="Y34" s="94" t="str">
        <x:f>IF(AND(Y6&gt;=$H34,Y6&lt;=$I34),IF(Y6&lt;=$H34+ROUND($J34*$L34,0)-1,2,1),"")</x:f>
      </x:c>
      <x:c r="Z34" s="94" t="str">
        <x:f>IF(AND(Z6&gt;=$H34,Z6&lt;=$I34),IF(Z6&lt;=$H34+ROUND($J34*$L34,0)-1,2,1),"")</x:f>
      </x:c>
      <x:c r="AA34" s="94" t="str">
        <x:f>IF(AND(AA6&gt;=$H34,AA6&lt;=$I34),IF(AA6&lt;=$H34+ROUND($J34*$L34,0)-1,2,1),"")</x:f>
      </x:c>
      <x:c r="AB34" s="94" t="str">
        <x:f>IF(AND(AB6&gt;=$H34,AB6&lt;=$I34),IF(AB6&lt;=$H34+ROUND($J34*$L34,0)-1,2,1),"")</x:f>
      </x:c>
      <x:c r="AC34" s="94" t="str">
        <x:f>IF(AND(AC6&gt;=$H34,AC6&lt;=$I34),IF(AC6&lt;=$H34+ROUND($J34*$L34,0)-1,2,1),"")</x:f>
      </x:c>
      <x:c r="AD34" s="94" t="n">
        <x:f>IF(AND(AD6&gt;=$H34,AD6&lt;=$I34),IF(AD6&lt;=$H34+ROUND($J34*$L34,0)-1,2,1),"")</x:f>
        <x:v>1</x:v>
      </x:c>
      <x:c r="AE34" s="94" t="n">
        <x:f>IF(AND(AE6&gt;=$H34,AE6&lt;=$I34),IF(AE6&lt;=$H34+ROUND($J34*$L34,0)-1,2,1),"")</x:f>
        <x:v>1</x:v>
      </x:c>
      <x:c r="AF34" s="94" t="str">
        <x:f>IF(AND(AF6&gt;=$H34,AF6&lt;=$I34),IF(AF6&lt;=$H34+ROUND($J34*$L34,0)-1,2,1),"")</x:f>
      </x:c>
      <x:c r="AG34" s="94" t="str">
        <x:f>IF(AND(AG6&gt;=$H34,AG6&lt;=$I34),IF(AG6&lt;=$H34+ROUND($J34*$L34,0)-1,2,1),"")</x:f>
      </x:c>
      <x:c r="AH34" s="94" t="str">
        <x:f>IF(AND(AH6&gt;=$H34,AH6&lt;=$I34),IF(AH6&lt;=$H34+ROUND($J34*$L34,0)-1,2,1),"")</x:f>
      </x:c>
      <x:c r="AI34" s="94" t="str">
        <x:f>IF(AND(AI6&gt;=$H34,AI6&lt;=$I34),IF(AI6&lt;=$H34+ROUND($J34*$L34,0)-1,2,1),"")</x:f>
      </x:c>
      <x:c r="AJ34" s="94" t="str">
        <x:f>IF(AND(AJ6&gt;=$H34,AJ6&lt;=$I34),IF(AJ6&lt;=$H34+ROUND($J34*$L34,0)-1,2,1),"")</x:f>
      </x:c>
      <x:c r="AK34" s="94" t="str">
        <x:f>IF(AND(AK6&gt;=$H34,AK6&lt;=$I34),IF(AK6&lt;=$H34+ROUND($J34*$L34,0)-1,2,1),"")</x:f>
      </x:c>
      <x:c r="AL34" s="94" t="str">
        <x:f>IF(AND(AL6&gt;=$H34,AL6&lt;=$I34),IF(AL6&lt;=$H34+ROUND($J34*$L34,0)-1,2,1),"")</x:f>
      </x:c>
      <x:c r="AM34" s="94" t="str">
        <x:f>IF(AND(AM6&gt;=$H34,AM6&lt;=$I34),IF(AM6&lt;=$H34+ROUND($J34*$L34,0)-1,2,1),"")</x:f>
      </x:c>
      <x:c r="AN34" s="94" t="str">
        <x:f>IF(AND(AN6&gt;=$H34,AN6&lt;=$I34),IF(AN6&lt;=$H34+ROUND($J34*$L34,0)-1,2,1),"")</x:f>
      </x:c>
      <x:c r="AO34" s="94" t="str">
        <x:f>IF(AND(AO6&gt;=$H34,AO6&lt;=$I34),IF(AO6&lt;=$H34+ROUND($J34*$L34,0)-1,2,1),"")</x:f>
      </x:c>
      <x:c r="AP34" s="94" t="str">
        <x:f>IF(AND(AP6&gt;=$H34,AP6&lt;=$I34),IF(AP6&lt;=$H34+ROUND($J34*$L34,0)-1,2,1),"")</x:f>
      </x:c>
      <x:c r="AQ34" s="94" t="str">
        <x:f>IF(AND(AQ6&gt;=$H34,AQ6&lt;=$I34),IF(AQ6&lt;=$H34+ROUND($J34*$L34,0)-1,2,1),"")</x:f>
      </x:c>
      <x:c r="AR34" s="94" t="str">
        <x:f>IF(AND(AR6&gt;=$H34,AR6&lt;=$I34),IF(AR6&lt;=$H34+ROUND($J34*$L34,0)-1,2,1),"")</x:f>
      </x:c>
      <x:c r="AS34" s="94" t="str">
        <x:f>IF(AND(AS6&gt;=$H34,AS6&lt;=$I34),IF(AS6&lt;=$H34+ROUND($J34*$L34,0)-1,2,1),"")</x:f>
      </x:c>
    </x:row>
    <x:row r="35" ht="34" customHeight="1">
      <x:c r="A35" s="74" t="str">
        <x:v>6.1</x:v>
      </x:c>
      <x:c r="B35" s="71" t="str">
        <x:v>系统部署</x:v>
      </x:c>
      <x:c r="C35" s="71" t="str">
        <x:v>Docker 与生产环境参数确认</x:v>
      </x:c>
      <x:c r="D35" s="71" t="str">
        <x:v>生产部署包与启动说明</x:v>
      </x:c>
      <x:c r="E35" s="71" t="str">
        <x:v>技术部</x:v>
      </x:c>
      <x:c r="F35" s="71" t="str">
        <x:v>徐贵艳</x:v>
      </x:c>
      <x:c r="G35" s="71" t="str">
        <x:v>周公策</x:v>
      </x:c>
      <x:c r="H35" s="86" t="n">
        <x:v>46248</x:v>
      </x:c>
      <x:c r="I35" s="86" t="n">
        <x:v>46250</x:v>
      </x:c>
      <x:c r="J35" s="80" t="n">
        <x:f>I35-H35+1</x:f>
        <x:v>3</x:v>
      </x:c>
      <x:c r="K35" s="71" t="str">
        <x:v>5.1</x:v>
      </x:c>
      <x:c r="L35" s="89" t="n">
        <x:v>0.9</x:v>
      </x:c>
      <x:c r="M35" s="74" t="str">
        <x:v>低</x:v>
      </x:c>
      <x:c r="N35" s="74" t="str">
        <x:v>否</x:v>
      </x:c>
      <x:c r="O35" s="94" t="str">
        <x:f>IF(AND(O6&gt;=$H35,O6&lt;=$I35),IF(O6&lt;=$H35+ROUND($J35*$L35,0)-1,2,1),"")</x:f>
      </x:c>
      <x:c r="P35" s="94" t="str">
        <x:f>IF(AND(P6&gt;=$H35,P6&lt;=$I35),IF(P6&lt;=$H35+ROUND($J35*$L35,0)-1,2,1),"")</x:f>
      </x:c>
      <x:c r="Q35" s="94" t="str">
        <x:f>IF(AND(Q6&gt;=$H35,Q6&lt;=$I35),IF(Q6&lt;=$H35+ROUND($J35*$L35,0)-1,2,1),"")</x:f>
      </x:c>
      <x:c r="R35" s="94" t="str">
        <x:f>IF(AND(R6&gt;=$H35,R6&lt;=$I35),IF(R6&lt;=$H35+ROUND($J35*$L35,0)-1,2,1),"")</x:f>
      </x:c>
      <x:c r="S35" s="94" t="str">
        <x:f>IF(AND(S6&gt;=$H35,S6&lt;=$I35),IF(S6&lt;=$H35+ROUND($J35*$L35,0)-1,2,1),"")</x:f>
      </x:c>
      <x:c r="T35" s="94" t="str">
        <x:f>IF(AND(T6&gt;=$H35,T6&lt;=$I35),IF(T6&lt;=$H35+ROUND($J35*$L35,0)-1,2,1),"")</x:f>
      </x:c>
      <x:c r="U35" s="94" t="str">
        <x:f>IF(AND(U6&gt;=$H35,U6&lt;=$I35),IF(U6&lt;=$H35+ROUND($J35*$L35,0)-1,2,1),"")</x:f>
      </x:c>
      <x:c r="V35" s="94" t="str">
        <x:f>IF(AND(V6&gt;=$H35,V6&lt;=$I35),IF(V6&lt;=$H35+ROUND($J35*$L35,0)-1,2,1),"")</x:f>
      </x:c>
      <x:c r="W35" s="94" t="str">
        <x:f>IF(AND(W6&gt;=$H35,W6&lt;=$I35),IF(W6&lt;=$H35+ROUND($J35*$L35,0)-1,2,1),"")</x:f>
      </x:c>
      <x:c r="X35" s="94" t="str">
        <x:f>IF(AND(X6&gt;=$H35,X6&lt;=$I35),IF(X6&lt;=$H35+ROUND($J35*$L35,0)-1,2,1),"")</x:f>
      </x:c>
      <x:c r="Y35" s="94" t="str">
        <x:f>IF(AND(Y6&gt;=$H35,Y6&lt;=$I35),IF(Y6&lt;=$H35+ROUND($J35*$L35,0)-1,2,1),"")</x:f>
      </x:c>
      <x:c r="Z35" s="94" t="n">
        <x:f>IF(AND(Z6&gt;=$H35,Z6&lt;=$I35),IF(Z6&lt;=$H35+ROUND($J35*$L35,0)-1,2,1),"")</x:f>
        <x:v>2</x:v>
      </x:c>
      <x:c r="AA35" s="94" t="n">
        <x:f>IF(AND(AA6&gt;=$H35,AA6&lt;=$I35),IF(AA6&lt;=$H35+ROUND($J35*$L35,0)-1,2,1),"")</x:f>
        <x:v>2</x:v>
      </x:c>
      <x:c r="AB35" s="94" t="n">
        <x:f>IF(AND(AB6&gt;=$H35,AB6&lt;=$I35),IF(AB6&lt;=$H35+ROUND($J35*$L35,0)-1,2,1),"")</x:f>
        <x:v>2</x:v>
      </x:c>
      <x:c r="AC35" s="94" t="str">
        <x:f>IF(AND(AC6&gt;=$H35,AC6&lt;=$I35),IF(AC6&lt;=$H35+ROUND($J35*$L35,0)-1,2,1),"")</x:f>
      </x:c>
      <x:c r="AD35" s="94" t="str">
        <x:f>IF(AND(AD6&gt;=$H35,AD6&lt;=$I35),IF(AD6&lt;=$H35+ROUND($J35*$L35,0)-1,2,1),"")</x:f>
      </x:c>
      <x:c r="AE35" s="94" t="str">
        <x:f>IF(AND(AE6&gt;=$H35,AE6&lt;=$I35),IF(AE6&lt;=$H35+ROUND($J35*$L35,0)-1,2,1),"")</x:f>
      </x:c>
      <x:c r="AF35" s="94" t="str">
        <x:f>IF(AND(AF6&gt;=$H35,AF6&lt;=$I35),IF(AF6&lt;=$H35+ROUND($J35*$L35,0)-1,2,1),"")</x:f>
      </x:c>
      <x:c r="AG35" s="94" t="str">
        <x:f>IF(AND(AG6&gt;=$H35,AG6&lt;=$I35),IF(AG6&lt;=$H35+ROUND($J35*$L35,0)-1,2,1),"")</x:f>
      </x:c>
      <x:c r="AH35" s="94" t="str">
        <x:f>IF(AND(AH6&gt;=$H35,AH6&lt;=$I35),IF(AH6&lt;=$H35+ROUND($J35*$L35,0)-1,2,1),"")</x:f>
      </x:c>
      <x:c r="AI35" s="94" t="str">
        <x:f>IF(AND(AI6&gt;=$H35,AI6&lt;=$I35),IF(AI6&lt;=$H35+ROUND($J35*$L35,0)-1,2,1),"")</x:f>
      </x:c>
      <x:c r="AJ35" s="94" t="str">
        <x:f>IF(AND(AJ6&gt;=$H35,AJ6&lt;=$I35),IF(AJ6&lt;=$H35+ROUND($J35*$L35,0)-1,2,1),"")</x:f>
      </x:c>
      <x:c r="AK35" s="94" t="str">
        <x:f>IF(AND(AK6&gt;=$H35,AK6&lt;=$I35),IF(AK6&lt;=$H35+ROUND($J35*$L35,0)-1,2,1),"")</x:f>
      </x:c>
      <x:c r="AL35" s="94" t="str">
        <x:f>IF(AND(AL6&gt;=$H35,AL6&lt;=$I35),IF(AL6&lt;=$H35+ROUND($J35*$L35,0)-1,2,1),"")</x:f>
      </x:c>
      <x:c r="AM35" s="94" t="str">
        <x:f>IF(AND(AM6&gt;=$H35,AM6&lt;=$I35),IF(AM6&lt;=$H35+ROUND($J35*$L35,0)-1,2,1),"")</x:f>
      </x:c>
      <x:c r="AN35" s="94" t="str">
        <x:f>IF(AND(AN6&gt;=$H35,AN6&lt;=$I35),IF(AN6&lt;=$H35+ROUND($J35*$L35,0)-1,2,1),"")</x:f>
      </x:c>
      <x:c r="AO35" s="94" t="str">
        <x:f>IF(AND(AO6&gt;=$H35,AO6&lt;=$I35),IF(AO6&lt;=$H35+ROUND($J35*$L35,0)-1,2,1),"")</x:f>
      </x:c>
      <x:c r="AP35" s="94" t="str">
        <x:f>IF(AND(AP6&gt;=$H35,AP6&lt;=$I35),IF(AP6&lt;=$H35+ROUND($J35*$L35,0)-1,2,1),"")</x:f>
      </x:c>
      <x:c r="AQ35" s="94" t="str">
        <x:f>IF(AND(AQ6&gt;=$H35,AQ6&lt;=$I35),IF(AQ6&lt;=$H35+ROUND($J35*$L35,0)-1,2,1),"")</x:f>
      </x:c>
      <x:c r="AR35" s="94" t="str">
        <x:f>IF(AND(AR6&gt;=$H35,AR6&lt;=$I35),IF(AR6&lt;=$H35+ROUND($J35*$L35,0)-1,2,1),"")</x:f>
      </x:c>
      <x:c r="AS35" s="94" t="str">
        <x:f>IF(AND(AS6&gt;=$H35,AS6&lt;=$I35),IF(AS6&lt;=$H35+ROUND($J35*$L35,0)-1,2,1),"")</x:f>
      </x:c>
    </x:row>
    <x:row r="36" ht="34" customHeight="1">
      <x:c r="A36" s="74" t="str">
        <x:v>6.2</x:v>
      </x:c>
      <x:c r="B36" s="71" t="str">
        <x:v>系统部署</x:v>
      </x:c>
      <x:c r="C36" s="71" t="str">
        <x:v>备份、恢复与回滚演练</x:v>
      </x:c>
      <x:c r="D36" s="71" t="str">
        <x:v>可执行回滚方案</x:v>
      </x:c>
      <x:c r="E36" s="71" t="str">
        <x:v>技术部</x:v>
      </x:c>
      <x:c r="F36" s="71" t="str">
        <x:v>徐贵艳</x:v>
      </x:c>
      <x:c r="G36" s="71" t="str">
        <x:v>周公策</x:v>
      </x:c>
      <x:c r="H36" s="86" t="n">
        <x:v>46250</x:v>
      </x:c>
      <x:c r="I36" s="86" t="n">
        <x:v>46251</x:v>
      </x:c>
      <x:c r="J36" s="80" t="n">
        <x:f>I36-H36+1</x:f>
        <x:v>2</x:v>
      </x:c>
      <x:c r="K36" s="71" t="str">
        <x:v>6.1</x:v>
      </x:c>
      <x:c r="L36" s="89" t="n">
        <x:v>0</x:v>
      </x:c>
      <x:c r="M36" s="74" t="str">
        <x:v>中</x:v>
      </x:c>
      <x:c r="N36" s="74" t="str">
        <x:v>是</x:v>
      </x:c>
      <x:c r="O36" s="94" t="str">
        <x:f>IF(AND(O6&gt;=$H36,O6&lt;=$I36),IF(O6&lt;=$H36+ROUND($J36*$L36,0)-1,2,1),"")</x:f>
      </x:c>
      <x:c r="P36" s="94" t="str">
        <x:f>IF(AND(P6&gt;=$H36,P6&lt;=$I36),IF(P6&lt;=$H36+ROUND($J36*$L36,0)-1,2,1),"")</x:f>
      </x:c>
      <x:c r="Q36" s="94" t="str">
        <x:f>IF(AND(Q6&gt;=$H36,Q6&lt;=$I36),IF(Q6&lt;=$H36+ROUND($J36*$L36,0)-1,2,1),"")</x:f>
      </x:c>
      <x:c r="R36" s="94" t="str">
        <x:f>IF(AND(R6&gt;=$H36,R6&lt;=$I36),IF(R6&lt;=$H36+ROUND($J36*$L36,0)-1,2,1),"")</x:f>
      </x:c>
      <x:c r="S36" s="94" t="str">
        <x:f>IF(AND(S6&gt;=$H36,S6&lt;=$I36),IF(S6&lt;=$H36+ROUND($J36*$L36,0)-1,2,1),"")</x:f>
      </x:c>
      <x:c r="T36" s="94" t="str">
        <x:f>IF(AND(T6&gt;=$H36,T6&lt;=$I36),IF(T6&lt;=$H36+ROUND($J36*$L36,0)-1,2,1),"")</x:f>
      </x:c>
      <x:c r="U36" s="94" t="str">
        <x:f>IF(AND(U6&gt;=$H36,U6&lt;=$I36),IF(U6&lt;=$H36+ROUND($J36*$L36,0)-1,2,1),"")</x:f>
      </x:c>
      <x:c r="V36" s="94" t="str">
        <x:f>IF(AND(V6&gt;=$H36,V6&lt;=$I36),IF(V6&lt;=$H36+ROUND($J36*$L36,0)-1,2,1),"")</x:f>
      </x:c>
      <x:c r="W36" s="94" t="str">
        <x:f>IF(AND(W6&gt;=$H36,W6&lt;=$I36),IF(W6&lt;=$H36+ROUND($J36*$L36,0)-1,2,1),"")</x:f>
      </x:c>
      <x:c r="X36" s="94" t="str">
        <x:f>IF(AND(X6&gt;=$H36,X6&lt;=$I36),IF(X6&lt;=$H36+ROUND($J36*$L36,0)-1,2,1),"")</x:f>
      </x:c>
      <x:c r="Y36" s="94" t="str">
        <x:f>IF(AND(Y6&gt;=$H36,Y6&lt;=$I36),IF(Y6&lt;=$H36+ROUND($J36*$L36,0)-1,2,1),"")</x:f>
      </x:c>
      <x:c r="Z36" s="94" t="str">
        <x:f>IF(AND(Z6&gt;=$H36,Z6&lt;=$I36),IF(Z6&lt;=$H36+ROUND($J36*$L36,0)-1,2,1),"")</x:f>
      </x:c>
      <x:c r="AA36" s="94" t="str">
        <x:f>IF(AND(AA6&gt;=$H36,AA6&lt;=$I36),IF(AA6&lt;=$H36+ROUND($J36*$L36,0)-1,2,1),"")</x:f>
      </x:c>
      <x:c r="AB36" s="94" t="n">
        <x:f>IF(AND(AB6&gt;=$H36,AB6&lt;=$I36),IF(AB6&lt;=$H36+ROUND($J36*$L36,0)-1,2,1),"")</x:f>
        <x:v>1</x:v>
      </x:c>
      <x:c r="AC36" s="94" t="n">
        <x:f>IF(AND(AC6&gt;=$H36,AC6&lt;=$I36),IF(AC6&lt;=$H36+ROUND($J36*$L36,0)-1,2,1),"")</x:f>
        <x:v>1</x:v>
      </x:c>
      <x:c r="AD36" s="94" t="str">
        <x:f>IF(AND(AD6&gt;=$H36,AD6&lt;=$I36),IF(AD6&lt;=$H36+ROUND($J36*$L36,0)-1,2,1),"")</x:f>
      </x:c>
      <x:c r="AE36" s="94" t="str">
        <x:f>IF(AND(AE6&gt;=$H36,AE6&lt;=$I36),IF(AE6&lt;=$H36+ROUND($J36*$L36,0)-1,2,1),"")</x:f>
      </x:c>
      <x:c r="AF36" s="94" t="str">
        <x:f>IF(AND(AF6&gt;=$H36,AF6&lt;=$I36),IF(AF6&lt;=$H36+ROUND($J36*$L36,0)-1,2,1),"")</x:f>
      </x:c>
      <x:c r="AG36" s="94" t="str">
        <x:f>IF(AND(AG6&gt;=$H36,AG6&lt;=$I36),IF(AG6&lt;=$H36+ROUND($J36*$L36,0)-1,2,1),"")</x:f>
      </x:c>
      <x:c r="AH36" s="94" t="str">
        <x:f>IF(AND(AH6&gt;=$H36,AH6&lt;=$I36),IF(AH6&lt;=$H36+ROUND($J36*$L36,0)-1,2,1),"")</x:f>
      </x:c>
      <x:c r="AI36" s="94" t="str">
        <x:f>IF(AND(AI6&gt;=$H36,AI6&lt;=$I36),IF(AI6&lt;=$H36+ROUND($J36*$L36,0)-1,2,1),"")</x:f>
      </x:c>
      <x:c r="AJ36" s="94" t="str">
        <x:f>IF(AND(AJ6&gt;=$H36,AJ6&lt;=$I36),IF(AJ6&lt;=$H36+ROUND($J36*$L36,0)-1,2,1),"")</x:f>
      </x:c>
      <x:c r="AK36" s="94" t="str">
        <x:f>IF(AND(AK6&gt;=$H36,AK6&lt;=$I36),IF(AK6&lt;=$H36+ROUND($J36*$L36,0)-1,2,1),"")</x:f>
      </x:c>
      <x:c r="AL36" s="94" t="str">
        <x:f>IF(AND(AL6&gt;=$H36,AL6&lt;=$I36),IF(AL6&lt;=$H36+ROUND($J36*$L36,0)-1,2,1),"")</x:f>
      </x:c>
      <x:c r="AM36" s="94" t="str">
        <x:f>IF(AND(AM6&gt;=$H36,AM6&lt;=$I36),IF(AM6&lt;=$H36+ROUND($J36*$L36,0)-1,2,1),"")</x:f>
      </x:c>
      <x:c r="AN36" s="94" t="str">
        <x:f>IF(AND(AN6&gt;=$H36,AN6&lt;=$I36),IF(AN6&lt;=$H36+ROUND($J36*$L36,0)-1,2,1),"")</x:f>
      </x:c>
      <x:c r="AO36" s="94" t="str">
        <x:f>IF(AND(AO6&gt;=$H36,AO6&lt;=$I36),IF(AO6&lt;=$H36+ROUND($J36*$L36,0)-1,2,1),"")</x:f>
      </x:c>
      <x:c r="AP36" s="94" t="str">
        <x:f>IF(AND(AP6&gt;=$H36,AP6&lt;=$I36),IF(AP6&lt;=$H36+ROUND($J36*$L36,0)-1,2,1),"")</x:f>
      </x:c>
      <x:c r="AQ36" s="94" t="str">
        <x:f>IF(AND(AQ6&gt;=$H36,AQ6&lt;=$I36),IF(AQ6&lt;=$H36+ROUND($J36*$L36,0)-1,2,1),"")</x:f>
      </x:c>
      <x:c r="AR36" s="94" t="str">
        <x:f>IF(AND(AR6&gt;=$H36,AR6&lt;=$I36),IF(AR6&lt;=$H36+ROUND($J36*$L36,0)-1,2,1),"")</x:f>
      </x:c>
      <x:c r="AS36" s="94" t="str">
        <x:f>IF(AND(AS6&gt;=$H36,AS6&lt;=$I36),IF(AS6&lt;=$H36+ROUND($J36*$L36,0)-1,2,1),"")</x:f>
      </x:c>
    </x:row>
    <x:row r="37" ht="34" customHeight="1">
      <x:c r="A37" s="74" t="str">
        <x:v>6.3</x:v>
      </x:c>
      <x:c r="B37" s="71" t="str">
        <x:v>系统部署</x:v>
      </x:c>
      <x:c r="C37" s="71" t="str">
        <x:v>生产环境发布</x:v>
      </x:c>
      <x:c r="D37" s="71" t="str">
        <x:v>系统正式发布</x:v>
      </x:c>
      <x:c r="E37" s="71" t="str">
        <x:v>技术部</x:v>
      </x:c>
      <x:c r="F37" s="71" t="str">
        <x:v>徐贵艳</x:v>
      </x:c>
      <x:c r="G37" s="71" t="str">
        <x:v>周公策</x:v>
      </x:c>
      <x:c r="H37" s="86" t="n">
        <x:v>46252</x:v>
      </x:c>
      <x:c r="I37" s="86" t="n">
        <x:v>46252</x:v>
      </x:c>
      <x:c r="J37" s="80" t="n">
        <x:f>I37-H37+1</x:f>
        <x:v>1</x:v>
      </x:c>
      <x:c r="K37" s="71" t="str">
        <x:v>5.3,5.4,6.2</x:v>
      </x:c>
      <x:c r="L37" s="89" t="n">
        <x:v>0</x:v>
      </x:c>
      <x:c r="M37" s="74" t="str">
        <x:v>高</x:v>
      </x:c>
      <x:c r="N37" s="74" t="str">
        <x:v>是</x:v>
      </x:c>
      <x:c r="O37" s="94" t="str">
        <x:f>IF(AND(O6&gt;=$H37,O6&lt;=$I37),IF(O6&lt;=$H37+ROUND($J37*$L37,0)-1,2,1),"")</x:f>
      </x:c>
      <x:c r="P37" s="94" t="str">
        <x:f>IF(AND(P6&gt;=$H37,P6&lt;=$I37),IF(P6&lt;=$H37+ROUND($J37*$L37,0)-1,2,1),"")</x:f>
      </x:c>
      <x:c r="Q37" s="94" t="str">
        <x:f>IF(AND(Q6&gt;=$H37,Q6&lt;=$I37),IF(Q6&lt;=$H37+ROUND($J37*$L37,0)-1,2,1),"")</x:f>
      </x:c>
      <x:c r="R37" s="94" t="str">
        <x:f>IF(AND(R6&gt;=$H37,R6&lt;=$I37),IF(R6&lt;=$H37+ROUND($J37*$L37,0)-1,2,1),"")</x:f>
      </x:c>
      <x:c r="S37" s="94" t="str">
        <x:f>IF(AND(S6&gt;=$H37,S6&lt;=$I37),IF(S6&lt;=$H37+ROUND($J37*$L37,0)-1,2,1),"")</x:f>
      </x:c>
      <x:c r="T37" s="94" t="str">
        <x:f>IF(AND(T6&gt;=$H37,T6&lt;=$I37),IF(T6&lt;=$H37+ROUND($J37*$L37,0)-1,2,1),"")</x:f>
      </x:c>
      <x:c r="U37" s="94" t="str">
        <x:f>IF(AND(U6&gt;=$H37,U6&lt;=$I37),IF(U6&lt;=$H37+ROUND($J37*$L37,0)-1,2,1),"")</x:f>
      </x:c>
      <x:c r="V37" s="94" t="str">
        <x:f>IF(AND(V6&gt;=$H37,V6&lt;=$I37),IF(V6&lt;=$H37+ROUND($J37*$L37,0)-1,2,1),"")</x:f>
      </x:c>
      <x:c r="W37" s="94" t="str">
        <x:f>IF(AND(W6&gt;=$H37,W6&lt;=$I37),IF(W6&lt;=$H37+ROUND($J37*$L37,0)-1,2,1),"")</x:f>
      </x:c>
      <x:c r="X37" s="94" t="str">
        <x:f>IF(AND(X6&gt;=$H37,X6&lt;=$I37),IF(X6&lt;=$H37+ROUND($J37*$L37,0)-1,2,1),"")</x:f>
      </x:c>
      <x:c r="Y37" s="94" t="str">
        <x:f>IF(AND(Y6&gt;=$H37,Y6&lt;=$I37),IF(Y6&lt;=$H37+ROUND($J37*$L37,0)-1,2,1),"")</x:f>
      </x:c>
      <x:c r="Z37" s="94" t="str">
        <x:f>IF(AND(Z6&gt;=$H37,Z6&lt;=$I37),IF(Z6&lt;=$H37+ROUND($J37*$L37,0)-1,2,1),"")</x:f>
      </x:c>
      <x:c r="AA37" s="94" t="str">
        <x:f>IF(AND(AA6&gt;=$H37,AA6&lt;=$I37),IF(AA6&lt;=$H37+ROUND($J37*$L37,0)-1,2,1),"")</x:f>
      </x:c>
      <x:c r="AB37" s="94" t="str">
        <x:f>IF(AND(AB6&gt;=$H37,AB6&lt;=$I37),IF(AB6&lt;=$H37+ROUND($J37*$L37,0)-1,2,1),"")</x:f>
      </x:c>
      <x:c r="AC37" s="94" t="str">
        <x:f>IF(AND(AC6&gt;=$H37,AC6&lt;=$I37),IF(AC6&lt;=$H37+ROUND($J37*$L37,0)-1,2,1),"")</x:f>
      </x:c>
      <x:c r="AD37" s="94" t="n">
        <x:f>IF(AND(AD6&gt;=$H37,AD6&lt;=$I37),IF(AD6&lt;=$H37+ROUND($J37*$L37,0)-1,2,1),"")</x:f>
        <x:v>1</x:v>
      </x:c>
      <x:c r="AE37" s="94" t="str">
        <x:f>IF(AND(AE6&gt;=$H37,AE6&lt;=$I37),IF(AE6&lt;=$H37+ROUND($J37*$L37,0)-1,2,1),"")</x:f>
      </x:c>
      <x:c r="AF37" s="94" t="str">
        <x:f>IF(AND(AF6&gt;=$H37,AF6&lt;=$I37),IF(AF6&lt;=$H37+ROUND($J37*$L37,0)-1,2,1),"")</x:f>
      </x:c>
      <x:c r="AG37" s="94" t="str">
        <x:f>IF(AND(AG6&gt;=$H37,AG6&lt;=$I37),IF(AG6&lt;=$H37+ROUND($J37*$L37,0)-1,2,1),"")</x:f>
      </x:c>
      <x:c r="AH37" s="94" t="str">
        <x:f>IF(AND(AH6&gt;=$H37,AH6&lt;=$I37),IF(AH6&lt;=$H37+ROUND($J37*$L37,0)-1,2,1),"")</x:f>
      </x:c>
      <x:c r="AI37" s="94" t="str">
        <x:f>IF(AND(AI6&gt;=$H37,AI6&lt;=$I37),IF(AI6&lt;=$H37+ROUND($J37*$L37,0)-1,2,1),"")</x:f>
      </x:c>
      <x:c r="AJ37" s="94" t="str">
        <x:f>IF(AND(AJ6&gt;=$H37,AJ6&lt;=$I37),IF(AJ6&lt;=$H37+ROUND($J37*$L37,0)-1,2,1),"")</x:f>
      </x:c>
      <x:c r="AK37" s="94" t="str">
        <x:f>IF(AND(AK6&gt;=$H37,AK6&lt;=$I37),IF(AK6&lt;=$H37+ROUND($J37*$L37,0)-1,2,1),"")</x:f>
      </x:c>
      <x:c r="AL37" s="94" t="str">
        <x:f>IF(AND(AL6&gt;=$H37,AL6&lt;=$I37),IF(AL6&lt;=$H37+ROUND($J37*$L37,0)-1,2,1),"")</x:f>
      </x:c>
      <x:c r="AM37" s="94" t="str">
        <x:f>IF(AND(AM6&gt;=$H37,AM6&lt;=$I37),IF(AM6&lt;=$H37+ROUND($J37*$L37,0)-1,2,1),"")</x:f>
      </x:c>
      <x:c r="AN37" s="94" t="str">
        <x:f>IF(AND(AN6&gt;=$H37,AN6&lt;=$I37),IF(AN6&lt;=$H37+ROUND($J37*$L37,0)-1,2,1),"")</x:f>
      </x:c>
      <x:c r="AO37" s="94" t="str">
        <x:f>IF(AND(AO6&gt;=$H37,AO6&lt;=$I37),IF(AO6&lt;=$H37+ROUND($J37*$L37,0)-1,2,1),"")</x:f>
      </x:c>
      <x:c r="AP37" s="94" t="str">
        <x:f>IF(AND(AP6&gt;=$H37,AP6&lt;=$I37),IF(AP6&lt;=$H37+ROUND($J37*$L37,0)-1,2,1),"")</x:f>
      </x:c>
      <x:c r="AQ37" s="94" t="str">
        <x:f>IF(AND(AQ6&gt;=$H37,AQ6&lt;=$I37),IF(AQ6&lt;=$H37+ROUND($J37*$L37,0)-1,2,1),"")</x:f>
      </x:c>
      <x:c r="AR37" s="94" t="str">
        <x:f>IF(AND(AR6&gt;=$H37,AR6&lt;=$I37),IF(AR6&lt;=$H37+ROUND($J37*$L37,0)-1,2,1),"")</x:f>
      </x:c>
      <x:c r="AS37" s="94" t="str">
        <x:f>IF(AND(AS6&gt;=$H37,AS6&lt;=$I37),IF(AS6&lt;=$H37+ROUND($J37*$L37,0)-1,2,1),"")</x:f>
      </x:c>
    </x:row>
    <x:row r="38" ht="34" customHeight="1">
      <x:c r="A38" s="74" t="str">
        <x:v>7.1</x:v>
      </x:c>
      <x:c r="B38" s="71" t="str">
        <x:v>系统培训</x:v>
      </x:c>
      <x:c r="C38" s="71" t="str">
        <x:v>培训材料与操作用例定版</x:v>
      </x:c>
      <x:c r="D38" s="71" t="str">
        <x:v>操作手册、场景用例与常见问题</x:v>
      </x:c>
      <x:c r="E38" s="71" t="str">
        <x:v>技术部+各业务部门</x:v>
      </x:c>
      <x:c r="F38" s="71" t="str">
        <x:v>徐贵艳</x:v>
      </x:c>
      <x:c r="G38" s="71" t="str">
        <x:v>任羲宸</x:v>
      </x:c>
      <x:c r="H38" s="86" t="n">
        <x:v>46250</x:v>
      </x:c>
      <x:c r="I38" s="86" t="n">
        <x:v>46252</x:v>
      </x:c>
      <x:c r="J38" s="80" t="n">
        <x:f>I38-H38+1</x:f>
        <x:v>3</x:v>
      </x:c>
      <x:c r="K38" s="71" t="str">
        <x:v>5.2</x:v>
      </x:c>
      <x:c r="L38" s="89" t="n">
        <x:v>0</x:v>
      </x:c>
      <x:c r="M38" s="74" t="str">
        <x:v>低</x:v>
      </x:c>
      <x:c r="N38" s="74" t="str">
        <x:v>否</x:v>
      </x:c>
      <x:c r="O38" s="94" t="str">
        <x:f>IF(AND(O6&gt;=$H38,O6&lt;=$I38),IF(O6&lt;=$H38+ROUND($J38*$L38,0)-1,2,1),"")</x:f>
      </x:c>
      <x:c r="P38" s="94" t="str">
        <x:f>IF(AND(P6&gt;=$H38,P6&lt;=$I38),IF(P6&lt;=$H38+ROUND($J38*$L38,0)-1,2,1),"")</x:f>
      </x:c>
      <x:c r="Q38" s="94" t="str">
        <x:f>IF(AND(Q6&gt;=$H38,Q6&lt;=$I38),IF(Q6&lt;=$H38+ROUND($J38*$L38,0)-1,2,1),"")</x:f>
      </x:c>
      <x:c r="R38" s="94" t="str">
        <x:f>IF(AND(R6&gt;=$H38,R6&lt;=$I38),IF(R6&lt;=$H38+ROUND($J38*$L38,0)-1,2,1),"")</x:f>
      </x:c>
      <x:c r="S38" s="94" t="str">
        <x:f>IF(AND(S6&gt;=$H38,S6&lt;=$I38),IF(S6&lt;=$H38+ROUND($J38*$L38,0)-1,2,1),"")</x:f>
      </x:c>
      <x:c r="T38" s="94" t="str">
        <x:f>IF(AND(T6&gt;=$H38,T6&lt;=$I38),IF(T6&lt;=$H38+ROUND($J38*$L38,0)-1,2,1),"")</x:f>
      </x:c>
      <x:c r="U38" s="94" t="str">
        <x:f>IF(AND(U6&gt;=$H38,U6&lt;=$I38),IF(U6&lt;=$H38+ROUND($J38*$L38,0)-1,2,1),"")</x:f>
      </x:c>
      <x:c r="V38" s="94" t="str">
        <x:f>IF(AND(V6&gt;=$H38,V6&lt;=$I38),IF(V6&lt;=$H38+ROUND($J38*$L38,0)-1,2,1),"")</x:f>
      </x:c>
      <x:c r="W38" s="94" t="str">
        <x:f>IF(AND(W6&gt;=$H38,W6&lt;=$I38),IF(W6&lt;=$H38+ROUND($J38*$L38,0)-1,2,1),"")</x:f>
      </x:c>
      <x:c r="X38" s="94" t="str">
        <x:f>IF(AND(X6&gt;=$H38,X6&lt;=$I38),IF(X6&lt;=$H38+ROUND($J38*$L38,0)-1,2,1),"")</x:f>
      </x:c>
      <x:c r="Y38" s="94" t="str">
        <x:f>IF(AND(Y6&gt;=$H38,Y6&lt;=$I38),IF(Y6&lt;=$H38+ROUND($J38*$L38,0)-1,2,1),"")</x:f>
      </x:c>
      <x:c r="Z38" s="94" t="str">
        <x:f>IF(AND(Z6&gt;=$H38,Z6&lt;=$I38),IF(Z6&lt;=$H38+ROUND($J38*$L38,0)-1,2,1),"")</x:f>
      </x:c>
      <x:c r="AA38" s="94" t="str">
        <x:f>IF(AND(AA6&gt;=$H38,AA6&lt;=$I38),IF(AA6&lt;=$H38+ROUND($J38*$L38,0)-1,2,1),"")</x:f>
      </x:c>
      <x:c r="AB38" s="94" t="n">
        <x:f>IF(AND(AB6&gt;=$H38,AB6&lt;=$I38),IF(AB6&lt;=$H38+ROUND($J38*$L38,0)-1,2,1),"")</x:f>
        <x:v>1</x:v>
      </x:c>
      <x:c r="AC38" s="94" t="n">
        <x:f>IF(AND(AC6&gt;=$H38,AC6&lt;=$I38),IF(AC6&lt;=$H38+ROUND($J38*$L38,0)-1,2,1),"")</x:f>
        <x:v>1</x:v>
      </x:c>
      <x:c r="AD38" s="94" t="n">
        <x:f>IF(AND(AD6&gt;=$H38,AD6&lt;=$I38),IF(AD6&lt;=$H38+ROUND($J38*$L38,0)-1,2,1),"")</x:f>
        <x:v>1</x:v>
      </x:c>
      <x:c r="AE38" s="94" t="str">
        <x:f>IF(AND(AE6&gt;=$H38,AE6&lt;=$I38),IF(AE6&lt;=$H38+ROUND($J38*$L38,0)-1,2,1),"")</x:f>
      </x:c>
      <x:c r="AF38" s="94" t="str">
        <x:f>IF(AND(AF6&gt;=$H38,AF6&lt;=$I38),IF(AF6&lt;=$H38+ROUND($J38*$L38,0)-1,2,1),"")</x:f>
      </x:c>
      <x:c r="AG38" s="94" t="str">
        <x:f>IF(AND(AG6&gt;=$H38,AG6&lt;=$I38),IF(AG6&lt;=$H38+ROUND($J38*$L38,0)-1,2,1),"")</x:f>
      </x:c>
      <x:c r="AH38" s="94" t="str">
        <x:f>IF(AND(AH6&gt;=$H38,AH6&lt;=$I38),IF(AH6&lt;=$H38+ROUND($J38*$L38,0)-1,2,1),"")</x:f>
      </x:c>
      <x:c r="AI38" s="94" t="str">
        <x:f>IF(AND(AI6&gt;=$H38,AI6&lt;=$I38),IF(AI6&lt;=$H38+ROUND($J38*$L38,0)-1,2,1),"")</x:f>
      </x:c>
      <x:c r="AJ38" s="94" t="str">
        <x:f>IF(AND(AJ6&gt;=$H38,AJ6&lt;=$I38),IF(AJ6&lt;=$H38+ROUND($J38*$L38,0)-1,2,1),"")</x:f>
      </x:c>
      <x:c r="AK38" s="94" t="str">
        <x:f>IF(AND(AK6&gt;=$H38,AK6&lt;=$I38),IF(AK6&lt;=$H38+ROUND($J38*$L38,0)-1,2,1),"")</x:f>
      </x:c>
      <x:c r="AL38" s="94" t="str">
        <x:f>IF(AND(AL6&gt;=$H38,AL6&lt;=$I38),IF(AL6&lt;=$H38+ROUND($J38*$L38,0)-1,2,1),"")</x:f>
      </x:c>
      <x:c r="AM38" s="94" t="str">
        <x:f>IF(AND(AM6&gt;=$H38,AM6&lt;=$I38),IF(AM6&lt;=$H38+ROUND($J38*$L38,0)-1,2,1),"")</x:f>
      </x:c>
      <x:c r="AN38" s="94" t="str">
        <x:f>IF(AND(AN6&gt;=$H38,AN6&lt;=$I38),IF(AN6&lt;=$H38+ROUND($J38*$L38,0)-1,2,1),"")</x:f>
      </x:c>
      <x:c r="AO38" s="94" t="str">
        <x:f>IF(AND(AO6&gt;=$H38,AO6&lt;=$I38),IF(AO6&lt;=$H38+ROUND($J38*$L38,0)-1,2,1),"")</x:f>
      </x:c>
      <x:c r="AP38" s="94" t="str">
        <x:f>IF(AND(AP6&gt;=$H38,AP6&lt;=$I38),IF(AP6&lt;=$H38+ROUND($J38*$L38,0)-1,2,1),"")</x:f>
      </x:c>
      <x:c r="AQ38" s="94" t="str">
        <x:f>IF(AND(AQ6&gt;=$H38,AQ6&lt;=$I38),IF(AQ6&lt;=$H38+ROUND($J38*$L38,0)-1,2,1),"")</x:f>
      </x:c>
      <x:c r="AR38" s="94" t="str">
        <x:f>IF(AND(AR6&gt;=$H38,AR6&lt;=$I38),IF(AR6&lt;=$H38+ROUND($J38*$L38,0)-1,2,1),"")</x:f>
      </x:c>
      <x:c r="AS38" s="94" t="str">
        <x:f>IF(AND(AS6&gt;=$H38,AS6&lt;=$I38),IF(AS6&lt;=$H38+ROUND($J38*$L38,0)-1,2,1),"")</x:f>
      </x:c>
    </x:row>
    <x:row r="39" ht="34" customHeight="1">
      <x:c r="A39" s="74" t="str">
        <x:v>7.2</x:v>
      </x:c>
      <x:c r="B39" s="71" t="str">
        <x:v>系统培训</x:v>
      </x:c>
      <x:c r="C39" s="71" t="str">
        <x:v>线上及线下用户培训</x:v>
      </x:c>
      <x:c r="D39" s="71" t="str">
        <x:v>关键用户完成培训</x:v>
      </x:c>
      <x:c r="E39" s="71" t="str">
        <x:v>技术部+各业务部门</x:v>
      </x:c>
      <x:c r="F39" s="71" t="str">
        <x:v>徐贵艳</x:v>
      </x:c>
      <x:c r="G39" s="71" t="str">
        <x:v>任羲宸</x:v>
      </x:c>
      <x:c r="H39" s="86" t="n">
        <x:v>46253</x:v>
      </x:c>
      <x:c r="I39" s="86" t="n">
        <x:v>46253</x:v>
      </x:c>
      <x:c r="J39" s="80" t="n">
        <x:f>I39-H39+1</x:f>
        <x:v>1</x:v>
      </x:c>
      <x:c r="K39" s="71" t="str">
        <x:v>7.1</x:v>
      </x:c>
      <x:c r="L39" s="89" t="n">
        <x:v>0</x:v>
      </x:c>
      <x:c r="M39" s="74" t="str">
        <x:v>中</x:v>
      </x:c>
      <x:c r="N39" s="74" t="str">
        <x:v>是</x:v>
      </x:c>
      <x:c r="O39" s="94" t="str">
        <x:f>IF(AND(O6&gt;=$H39,O6&lt;=$I39),IF(O6&lt;=$H39+ROUND($J39*$L39,0)-1,2,1),"")</x:f>
      </x:c>
      <x:c r="P39" s="94" t="str">
        <x:f>IF(AND(P6&gt;=$H39,P6&lt;=$I39),IF(P6&lt;=$H39+ROUND($J39*$L39,0)-1,2,1),"")</x:f>
      </x:c>
      <x:c r="Q39" s="94" t="str">
        <x:f>IF(AND(Q6&gt;=$H39,Q6&lt;=$I39),IF(Q6&lt;=$H39+ROUND($J39*$L39,0)-1,2,1),"")</x:f>
      </x:c>
      <x:c r="R39" s="94" t="str">
        <x:f>IF(AND(R6&gt;=$H39,R6&lt;=$I39),IF(R6&lt;=$H39+ROUND($J39*$L39,0)-1,2,1),"")</x:f>
      </x:c>
      <x:c r="S39" s="94" t="str">
        <x:f>IF(AND(S6&gt;=$H39,S6&lt;=$I39),IF(S6&lt;=$H39+ROUND($J39*$L39,0)-1,2,1),"")</x:f>
      </x:c>
      <x:c r="T39" s="94" t="str">
        <x:f>IF(AND(T6&gt;=$H39,T6&lt;=$I39),IF(T6&lt;=$H39+ROUND($J39*$L39,0)-1,2,1),"")</x:f>
      </x:c>
      <x:c r="U39" s="94" t="str">
        <x:f>IF(AND(U6&gt;=$H39,U6&lt;=$I39),IF(U6&lt;=$H39+ROUND($J39*$L39,0)-1,2,1),"")</x:f>
      </x:c>
      <x:c r="V39" s="94" t="str">
        <x:f>IF(AND(V6&gt;=$H39,V6&lt;=$I39),IF(V6&lt;=$H39+ROUND($J39*$L39,0)-1,2,1),"")</x:f>
      </x:c>
      <x:c r="W39" s="94" t="str">
        <x:f>IF(AND(W6&gt;=$H39,W6&lt;=$I39),IF(W6&lt;=$H39+ROUND($J39*$L39,0)-1,2,1),"")</x:f>
      </x:c>
      <x:c r="X39" s="94" t="str">
        <x:f>IF(AND(X6&gt;=$H39,X6&lt;=$I39),IF(X6&lt;=$H39+ROUND($J39*$L39,0)-1,2,1),"")</x:f>
      </x:c>
      <x:c r="Y39" s="94" t="str">
        <x:f>IF(AND(Y6&gt;=$H39,Y6&lt;=$I39),IF(Y6&lt;=$H39+ROUND($J39*$L39,0)-1,2,1),"")</x:f>
      </x:c>
      <x:c r="Z39" s="94" t="str">
        <x:f>IF(AND(Z6&gt;=$H39,Z6&lt;=$I39),IF(Z6&lt;=$H39+ROUND($J39*$L39,0)-1,2,1),"")</x:f>
      </x:c>
      <x:c r="AA39" s="94" t="str">
        <x:f>IF(AND(AA6&gt;=$H39,AA6&lt;=$I39),IF(AA6&lt;=$H39+ROUND($J39*$L39,0)-1,2,1),"")</x:f>
      </x:c>
      <x:c r="AB39" s="94" t="str">
        <x:f>IF(AND(AB6&gt;=$H39,AB6&lt;=$I39),IF(AB6&lt;=$H39+ROUND($J39*$L39,0)-1,2,1),"")</x:f>
      </x:c>
      <x:c r="AC39" s="94" t="str">
        <x:f>IF(AND(AC6&gt;=$H39,AC6&lt;=$I39),IF(AC6&lt;=$H39+ROUND($J39*$L39,0)-1,2,1),"")</x:f>
      </x:c>
      <x:c r="AD39" s="94" t="str">
        <x:f>IF(AND(AD6&gt;=$H39,AD6&lt;=$I39),IF(AD6&lt;=$H39+ROUND($J39*$L39,0)-1,2,1),"")</x:f>
      </x:c>
      <x:c r="AE39" s="94" t="n">
        <x:f>IF(AND(AE6&gt;=$H39,AE6&lt;=$I39),IF(AE6&lt;=$H39+ROUND($J39*$L39,0)-1,2,1),"")</x:f>
        <x:v>1</x:v>
      </x:c>
      <x:c r="AF39" s="94" t="str">
        <x:f>IF(AND(AF6&gt;=$H39,AF6&lt;=$I39),IF(AF6&lt;=$H39+ROUND($J39*$L39,0)-1,2,1),"")</x:f>
      </x:c>
      <x:c r="AG39" s="94" t="str">
        <x:f>IF(AND(AG6&gt;=$H39,AG6&lt;=$I39),IF(AG6&lt;=$H39+ROUND($J39*$L39,0)-1,2,1),"")</x:f>
      </x:c>
      <x:c r="AH39" s="94" t="str">
        <x:f>IF(AND(AH6&gt;=$H39,AH6&lt;=$I39),IF(AH6&lt;=$H39+ROUND($J39*$L39,0)-1,2,1),"")</x:f>
      </x:c>
      <x:c r="AI39" s="94" t="str">
        <x:f>IF(AND(AI6&gt;=$H39,AI6&lt;=$I39),IF(AI6&lt;=$H39+ROUND($J39*$L39,0)-1,2,1),"")</x:f>
      </x:c>
      <x:c r="AJ39" s="94" t="str">
        <x:f>IF(AND(AJ6&gt;=$H39,AJ6&lt;=$I39),IF(AJ6&lt;=$H39+ROUND($J39*$L39,0)-1,2,1),"")</x:f>
      </x:c>
      <x:c r="AK39" s="94" t="str">
        <x:f>IF(AND(AK6&gt;=$H39,AK6&lt;=$I39),IF(AK6&lt;=$H39+ROUND($J39*$L39,0)-1,2,1),"")</x:f>
      </x:c>
      <x:c r="AL39" s="94" t="str">
        <x:f>IF(AND(AL6&gt;=$H39,AL6&lt;=$I39),IF(AL6&lt;=$H39+ROUND($J39*$L39,0)-1,2,1),"")</x:f>
      </x:c>
      <x:c r="AM39" s="94" t="str">
        <x:f>IF(AND(AM6&gt;=$H39,AM6&lt;=$I39),IF(AM6&lt;=$H39+ROUND($J39*$L39,0)-1,2,1),"")</x:f>
      </x:c>
      <x:c r="AN39" s="94" t="str">
        <x:f>IF(AND(AN6&gt;=$H39,AN6&lt;=$I39),IF(AN6&lt;=$H39+ROUND($J39*$L39,0)-1,2,1),"")</x:f>
      </x:c>
      <x:c r="AO39" s="94" t="str">
        <x:f>IF(AND(AO6&gt;=$H39,AO6&lt;=$I39),IF(AO6&lt;=$H39+ROUND($J39*$L39,0)-1,2,1),"")</x:f>
      </x:c>
      <x:c r="AP39" s="94" t="str">
        <x:f>IF(AND(AP6&gt;=$H39,AP6&lt;=$I39),IF(AP6&lt;=$H39+ROUND($J39*$L39,0)-1,2,1),"")</x:f>
      </x:c>
      <x:c r="AQ39" s="94" t="str">
        <x:f>IF(AND(AQ6&gt;=$H39,AQ6&lt;=$I39),IF(AQ6&lt;=$H39+ROUND($J39*$L39,0)-1,2,1),"")</x:f>
      </x:c>
      <x:c r="AR39" s="94" t="str">
        <x:f>IF(AND(AR6&gt;=$H39,AR6&lt;=$I39),IF(AR6&lt;=$H39+ROUND($J39*$L39,0)-1,2,1),"")</x:f>
      </x:c>
      <x:c r="AS39" s="94" t="str">
        <x:f>IF(AND(AS6&gt;=$H39,AS6&lt;=$I39),IF(AS6&lt;=$H39+ROUND($J39*$L39,0)-1,2,1),"")</x:f>
      </x:c>
    </x:row>
    <x:row r="40" ht="34" customHeight="1">
      <x:c r="A40" s="74" t="str">
        <x:v>8.1</x:v>
      </x:c>
      <x:c r="B40" s="71" t="str">
        <x:v>系统试运行</x:v>
      </x:c>
      <x:c r="C40" s="71" t="str">
        <x:v>生产试运行与技术支持</x:v>
      </x:c>
      <x:c r="D40" s="71" t="str">
        <x:v>真实业务连续运行</x:v>
      </x:c>
      <x:c r="E40" s="71" t="str">
        <x:v>技术部+各业务部门</x:v>
      </x:c>
      <x:c r="F40" s="71" t="str">
        <x:v>徐贵艳</x:v>
      </x:c>
      <x:c r="G40" s="71" t="str">
        <x:v>任羲宸</x:v>
      </x:c>
      <x:c r="H40" s="86" t="n">
        <x:v>46254</x:v>
      </x:c>
      <x:c r="I40" s="86" t="n">
        <x:v>46257</x:v>
      </x:c>
      <x:c r="J40" s="80" t="n">
        <x:f>I40-H40+1</x:f>
        <x:v>4</x:v>
      </x:c>
      <x:c r="K40" s="71" t="str">
        <x:v>6.3,7.2</x:v>
      </x:c>
      <x:c r="L40" s="89" t="n">
        <x:v>0</x:v>
      </x:c>
      <x:c r="M40" s="74" t="str">
        <x:v>高</x:v>
      </x:c>
      <x:c r="N40" s="74" t="str">
        <x:v>是</x:v>
      </x:c>
      <x:c r="O40" s="94" t="str">
        <x:f>IF(AND(O6&gt;=$H40,O6&lt;=$I40),IF(O6&lt;=$H40+ROUND($J40*$L40,0)-1,2,1),"")</x:f>
      </x:c>
      <x:c r="P40" s="94" t="str">
        <x:f>IF(AND(P6&gt;=$H40,P6&lt;=$I40),IF(P6&lt;=$H40+ROUND($J40*$L40,0)-1,2,1),"")</x:f>
      </x:c>
      <x:c r="Q40" s="94" t="str">
        <x:f>IF(AND(Q6&gt;=$H40,Q6&lt;=$I40),IF(Q6&lt;=$H40+ROUND($J40*$L40,0)-1,2,1),"")</x:f>
      </x:c>
      <x:c r="R40" s="94" t="str">
        <x:f>IF(AND(R6&gt;=$H40,R6&lt;=$I40),IF(R6&lt;=$H40+ROUND($J40*$L40,0)-1,2,1),"")</x:f>
      </x:c>
      <x:c r="S40" s="94" t="str">
        <x:f>IF(AND(S6&gt;=$H40,S6&lt;=$I40),IF(S6&lt;=$H40+ROUND($J40*$L40,0)-1,2,1),"")</x:f>
      </x:c>
      <x:c r="T40" s="94" t="str">
        <x:f>IF(AND(T6&gt;=$H40,T6&lt;=$I40),IF(T6&lt;=$H40+ROUND($J40*$L40,0)-1,2,1),"")</x:f>
      </x:c>
      <x:c r="U40" s="94" t="str">
        <x:f>IF(AND(U6&gt;=$H40,U6&lt;=$I40),IF(U6&lt;=$H40+ROUND($J40*$L40,0)-1,2,1),"")</x:f>
      </x:c>
      <x:c r="V40" s="94" t="str">
        <x:f>IF(AND(V6&gt;=$H40,V6&lt;=$I40),IF(V6&lt;=$H40+ROUND($J40*$L40,0)-1,2,1),"")</x:f>
      </x:c>
      <x:c r="W40" s="94" t="str">
        <x:f>IF(AND(W6&gt;=$H40,W6&lt;=$I40),IF(W6&lt;=$H40+ROUND($J40*$L40,0)-1,2,1),"")</x:f>
      </x:c>
      <x:c r="X40" s="94" t="str">
        <x:f>IF(AND(X6&gt;=$H40,X6&lt;=$I40),IF(X6&lt;=$H40+ROUND($J40*$L40,0)-1,2,1),"")</x:f>
      </x:c>
      <x:c r="Y40" s="94" t="str">
        <x:f>IF(AND(Y6&gt;=$H40,Y6&lt;=$I40),IF(Y6&lt;=$H40+ROUND($J40*$L40,0)-1,2,1),"")</x:f>
      </x:c>
      <x:c r="Z40" s="94" t="str">
        <x:f>IF(AND(Z6&gt;=$H40,Z6&lt;=$I40),IF(Z6&lt;=$H40+ROUND($J40*$L40,0)-1,2,1),"")</x:f>
      </x:c>
      <x:c r="AA40" s="94" t="str">
        <x:f>IF(AND(AA6&gt;=$H40,AA6&lt;=$I40),IF(AA6&lt;=$H40+ROUND($J40*$L40,0)-1,2,1),"")</x:f>
      </x:c>
      <x:c r="AB40" s="94" t="str">
        <x:f>IF(AND(AB6&gt;=$H40,AB6&lt;=$I40),IF(AB6&lt;=$H40+ROUND($J40*$L40,0)-1,2,1),"")</x:f>
      </x:c>
      <x:c r="AC40" s="94" t="str">
        <x:f>IF(AND(AC6&gt;=$H40,AC6&lt;=$I40),IF(AC6&lt;=$H40+ROUND($J40*$L40,0)-1,2,1),"")</x:f>
      </x:c>
      <x:c r="AD40" s="94" t="str">
        <x:f>IF(AND(AD6&gt;=$H40,AD6&lt;=$I40),IF(AD6&lt;=$H40+ROUND($J40*$L40,0)-1,2,1),"")</x:f>
      </x:c>
      <x:c r="AE40" s="94" t="str">
        <x:f>IF(AND(AE6&gt;=$H40,AE6&lt;=$I40),IF(AE6&lt;=$H40+ROUND($J40*$L40,0)-1,2,1),"")</x:f>
      </x:c>
      <x:c r="AF40" s="94" t="n">
        <x:f>IF(AND(AF6&gt;=$H40,AF6&lt;=$I40),IF(AF6&lt;=$H40+ROUND($J40*$L40,0)-1,2,1),"")</x:f>
        <x:v>1</x:v>
      </x:c>
      <x:c r="AG40" s="94" t="n">
        <x:f>IF(AND(AG6&gt;=$H40,AG6&lt;=$I40),IF(AG6&lt;=$H40+ROUND($J40*$L40,0)-1,2,1),"")</x:f>
        <x:v>1</x:v>
      </x:c>
      <x:c r="AH40" s="94" t="n">
        <x:f>IF(AND(AH6&gt;=$H40,AH6&lt;=$I40),IF(AH6&lt;=$H40+ROUND($J40*$L40,0)-1,2,1),"")</x:f>
        <x:v>1</x:v>
      </x:c>
      <x:c r="AI40" s="94" t="n">
        <x:f>IF(AND(AI6&gt;=$H40,AI6&lt;=$I40),IF(AI6&lt;=$H40+ROUND($J40*$L40,0)-1,2,1),"")</x:f>
        <x:v>1</x:v>
      </x:c>
      <x:c r="AJ40" s="94" t="str">
        <x:f>IF(AND(AJ6&gt;=$H40,AJ6&lt;=$I40),IF(AJ6&lt;=$H40+ROUND($J40*$L40,0)-1,2,1),"")</x:f>
      </x:c>
      <x:c r="AK40" s="94" t="str">
        <x:f>IF(AND(AK6&gt;=$H40,AK6&lt;=$I40),IF(AK6&lt;=$H40+ROUND($J40*$L40,0)-1,2,1),"")</x:f>
      </x:c>
      <x:c r="AL40" s="94" t="str">
        <x:f>IF(AND(AL6&gt;=$H40,AL6&lt;=$I40),IF(AL6&lt;=$H40+ROUND($J40*$L40,0)-1,2,1),"")</x:f>
      </x:c>
      <x:c r="AM40" s="94" t="str">
        <x:f>IF(AND(AM6&gt;=$H40,AM6&lt;=$I40),IF(AM6&lt;=$H40+ROUND($J40*$L40,0)-1,2,1),"")</x:f>
      </x:c>
      <x:c r="AN40" s="94" t="str">
        <x:f>IF(AND(AN6&gt;=$H40,AN6&lt;=$I40),IF(AN6&lt;=$H40+ROUND($J40*$L40,0)-1,2,1),"")</x:f>
      </x:c>
      <x:c r="AO40" s="94" t="str">
        <x:f>IF(AND(AO6&gt;=$H40,AO6&lt;=$I40),IF(AO6&lt;=$H40+ROUND($J40*$L40,0)-1,2,1),"")</x:f>
      </x:c>
      <x:c r="AP40" s="94" t="str">
        <x:f>IF(AND(AP6&gt;=$H40,AP6&lt;=$I40),IF(AP6&lt;=$H40+ROUND($J40*$L40,0)-1,2,1),"")</x:f>
      </x:c>
      <x:c r="AQ40" s="94" t="str">
        <x:f>IF(AND(AQ6&gt;=$H40,AQ6&lt;=$I40),IF(AQ6&lt;=$H40+ROUND($J40*$L40,0)-1,2,1),"")</x:f>
      </x:c>
      <x:c r="AR40" s="94" t="str">
        <x:f>IF(AND(AR6&gt;=$H40,AR6&lt;=$I40),IF(AR6&lt;=$H40+ROUND($J40*$L40,0)-1,2,1),"")</x:f>
      </x:c>
      <x:c r="AS40" s="94" t="str">
        <x:f>IF(AND(AS6&gt;=$H40,AS6&lt;=$I40),IF(AS6&lt;=$H40+ROUND($J40*$L40,0)-1,2,1),"")</x:f>
      </x:c>
    </x:row>
    <x:row r="41" ht="34" customHeight="1">
      <x:c r="A41" s="74" t="str">
        <x:v>8.2</x:v>
      </x:c>
      <x:c r="B41" s="71" t="str">
        <x:v>系统试运行</x:v>
      </x:c>
      <x:c r="C41" s="71" t="str">
        <x:v>试运行问题关闭</x:v>
      </x:c>
      <x:c r="D41" s="71" t="str">
        <x:v>试运行P0/P1问题清零</x:v>
      </x:c>
      <x:c r="E41" s="71" t="str">
        <x:v>技术部</x:v>
      </x:c>
      <x:c r="F41" s="71" t="str">
        <x:v>徐贵艳</x:v>
      </x:c>
      <x:c r="G41" s="71" t="str">
        <x:v>任羲宸</x:v>
      </x:c>
      <x:c r="H41" s="86" t="n">
        <x:v>46254</x:v>
      </x:c>
      <x:c r="I41" s="86" t="n">
        <x:v>46258</x:v>
      </x:c>
      <x:c r="J41" s="80" t="n">
        <x:f>I41-H41+1</x:f>
        <x:v>5</x:v>
      </x:c>
      <x:c r="K41" s="71" t="str">
        <x:v>8.1</x:v>
      </x:c>
      <x:c r="L41" s="89" t="n">
        <x:v>0</x:v>
      </x:c>
      <x:c r="M41" s="74" t="str">
        <x:v>高</x:v>
      </x:c>
      <x:c r="N41" s="74" t="str">
        <x:v>是</x:v>
      </x:c>
      <x:c r="O41" s="94" t="str">
        <x:f>IF(AND(O6&gt;=$H41,O6&lt;=$I41),IF(O6&lt;=$H41+ROUND($J41*$L41,0)-1,2,1),"")</x:f>
      </x:c>
      <x:c r="P41" s="94" t="str">
        <x:f>IF(AND(P6&gt;=$H41,P6&lt;=$I41),IF(P6&lt;=$H41+ROUND($J41*$L41,0)-1,2,1),"")</x:f>
      </x:c>
      <x:c r="Q41" s="94" t="str">
        <x:f>IF(AND(Q6&gt;=$H41,Q6&lt;=$I41),IF(Q6&lt;=$H41+ROUND($J41*$L41,0)-1,2,1),"")</x:f>
      </x:c>
      <x:c r="R41" s="94" t="str">
        <x:f>IF(AND(R6&gt;=$H41,R6&lt;=$I41),IF(R6&lt;=$H41+ROUND($J41*$L41,0)-1,2,1),"")</x:f>
      </x:c>
      <x:c r="S41" s="94" t="str">
        <x:f>IF(AND(S6&gt;=$H41,S6&lt;=$I41),IF(S6&lt;=$H41+ROUND($J41*$L41,0)-1,2,1),"")</x:f>
      </x:c>
      <x:c r="T41" s="94" t="str">
        <x:f>IF(AND(T6&gt;=$H41,T6&lt;=$I41),IF(T6&lt;=$H41+ROUND($J41*$L41,0)-1,2,1),"")</x:f>
      </x:c>
      <x:c r="U41" s="94" t="str">
        <x:f>IF(AND(U6&gt;=$H41,U6&lt;=$I41),IF(U6&lt;=$H41+ROUND($J41*$L41,0)-1,2,1),"")</x:f>
      </x:c>
      <x:c r="V41" s="94" t="str">
        <x:f>IF(AND(V6&gt;=$H41,V6&lt;=$I41),IF(V6&lt;=$H41+ROUND($J41*$L41,0)-1,2,1),"")</x:f>
      </x:c>
      <x:c r="W41" s="94" t="str">
        <x:f>IF(AND(W6&gt;=$H41,W6&lt;=$I41),IF(W6&lt;=$H41+ROUND($J41*$L41,0)-1,2,1),"")</x:f>
      </x:c>
      <x:c r="X41" s="94" t="str">
        <x:f>IF(AND(X6&gt;=$H41,X6&lt;=$I41),IF(X6&lt;=$H41+ROUND($J41*$L41,0)-1,2,1),"")</x:f>
      </x:c>
      <x:c r="Y41" s="94" t="str">
        <x:f>IF(AND(Y6&gt;=$H41,Y6&lt;=$I41),IF(Y6&lt;=$H41+ROUND($J41*$L41,0)-1,2,1),"")</x:f>
      </x:c>
      <x:c r="Z41" s="94" t="str">
        <x:f>IF(AND(Z6&gt;=$H41,Z6&lt;=$I41),IF(Z6&lt;=$H41+ROUND($J41*$L41,0)-1,2,1),"")</x:f>
      </x:c>
      <x:c r="AA41" s="94" t="str">
        <x:f>IF(AND(AA6&gt;=$H41,AA6&lt;=$I41),IF(AA6&lt;=$H41+ROUND($J41*$L41,0)-1,2,1),"")</x:f>
      </x:c>
      <x:c r="AB41" s="94" t="str">
        <x:f>IF(AND(AB6&gt;=$H41,AB6&lt;=$I41),IF(AB6&lt;=$H41+ROUND($J41*$L41,0)-1,2,1),"")</x:f>
      </x:c>
      <x:c r="AC41" s="94" t="str">
        <x:f>IF(AND(AC6&gt;=$H41,AC6&lt;=$I41),IF(AC6&lt;=$H41+ROUND($J41*$L41,0)-1,2,1),"")</x:f>
      </x:c>
      <x:c r="AD41" s="94" t="str">
        <x:f>IF(AND(AD6&gt;=$H41,AD6&lt;=$I41),IF(AD6&lt;=$H41+ROUND($J41*$L41,0)-1,2,1),"")</x:f>
      </x:c>
      <x:c r="AE41" s="94" t="str">
        <x:f>IF(AND(AE6&gt;=$H41,AE6&lt;=$I41),IF(AE6&lt;=$H41+ROUND($J41*$L41,0)-1,2,1),"")</x:f>
      </x:c>
      <x:c r="AF41" s="94" t="n">
        <x:f>IF(AND(AF6&gt;=$H41,AF6&lt;=$I41),IF(AF6&lt;=$H41+ROUND($J41*$L41,0)-1,2,1),"")</x:f>
        <x:v>1</x:v>
      </x:c>
      <x:c r="AG41" s="94" t="n">
        <x:f>IF(AND(AG6&gt;=$H41,AG6&lt;=$I41),IF(AG6&lt;=$H41+ROUND($J41*$L41,0)-1,2,1),"")</x:f>
        <x:v>1</x:v>
      </x:c>
      <x:c r="AH41" s="94" t="n">
        <x:f>IF(AND(AH6&gt;=$H41,AH6&lt;=$I41),IF(AH6&lt;=$H41+ROUND($J41*$L41,0)-1,2,1),"")</x:f>
        <x:v>1</x:v>
      </x:c>
      <x:c r="AI41" s="94" t="n">
        <x:f>IF(AND(AI6&gt;=$H41,AI6&lt;=$I41),IF(AI6&lt;=$H41+ROUND($J41*$L41,0)-1,2,1),"")</x:f>
        <x:v>1</x:v>
      </x:c>
      <x:c r="AJ41" s="94" t="n">
        <x:f>IF(AND(AJ6&gt;=$H41,AJ6&lt;=$I41),IF(AJ6&lt;=$H41+ROUND($J41*$L41,0)-1,2,1),"")</x:f>
        <x:v>1</x:v>
      </x:c>
      <x:c r="AK41" s="94" t="str">
        <x:f>IF(AND(AK6&gt;=$H41,AK6&lt;=$I41),IF(AK6&lt;=$H41+ROUND($J41*$L41,0)-1,2,1),"")</x:f>
      </x:c>
      <x:c r="AL41" s="94" t="str">
        <x:f>IF(AND(AL6&gt;=$H41,AL6&lt;=$I41),IF(AL6&lt;=$H41+ROUND($J41*$L41,0)-1,2,1),"")</x:f>
      </x:c>
      <x:c r="AM41" s="94" t="str">
        <x:f>IF(AND(AM6&gt;=$H41,AM6&lt;=$I41),IF(AM6&lt;=$H41+ROUND($J41*$L41,0)-1,2,1),"")</x:f>
      </x:c>
      <x:c r="AN41" s="94" t="str">
        <x:f>IF(AND(AN6&gt;=$H41,AN6&lt;=$I41),IF(AN6&lt;=$H41+ROUND($J41*$L41,0)-1,2,1),"")</x:f>
      </x:c>
      <x:c r="AO41" s="94" t="str">
        <x:f>IF(AND(AO6&gt;=$H41,AO6&lt;=$I41),IF(AO6&lt;=$H41+ROUND($J41*$L41,0)-1,2,1),"")</x:f>
      </x:c>
      <x:c r="AP41" s="94" t="str">
        <x:f>IF(AND(AP6&gt;=$H41,AP6&lt;=$I41),IF(AP6&lt;=$H41+ROUND($J41*$L41,0)-1,2,1),"")</x:f>
      </x:c>
      <x:c r="AQ41" s="94" t="str">
        <x:f>IF(AND(AQ6&gt;=$H41,AQ6&lt;=$I41),IF(AQ6&lt;=$H41+ROUND($J41*$L41,0)-1,2,1),"")</x:f>
      </x:c>
      <x:c r="AR41" s="94" t="str">
        <x:f>IF(AND(AR6&gt;=$H41,AR6&lt;=$I41),IF(AR6&lt;=$H41+ROUND($J41*$L41,0)-1,2,1),"")</x:f>
      </x:c>
      <x:c r="AS41" s="94" t="str">
        <x:f>IF(AND(AS6&gt;=$H41,AS6&lt;=$I41),IF(AS6&lt;=$H41+ROUND($J41*$L41,0)-1,2,1),"")</x:f>
      </x:c>
    </x:row>
    <x:row r="42" ht="34" customHeight="1">
      <x:c r="A42" s="75" t="str">
        <x:v>8.3</x:v>
      </x:c>
      <x:c r="B42" s="72" t="str">
        <x:v>项目验收</x:v>
      </x:c>
      <x:c r="C42" s="72" t="str">
        <x:v>项目交付验收</x:v>
      </x:c>
      <x:c r="D42" s="72" t="str">
        <x:v>验收纪要及遗留事项清单</x:v>
      </x:c>
      <x:c r="E42" s="72" t="str">
        <x:v>项目组</x:v>
      </x:c>
      <x:c r="F42" s="72" t="str">
        <x:v>徐贵艳</x:v>
      </x:c>
      <x:c r="G42" s="72" t="str">
        <x:v>任羲宸</x:v>
      </x:c>
      <x:c r="H42" s="87" t="n">
        <x:v>46259</x:v>
      </x:c>
      <x:c r="I42" s="87" t="n">
        <x:v>46259</x:v>
      </x:c>
      <x:c r="J42" s="81" t="n">
        <x:f>I42-H42+1</x:f>
        <x:v>1</x:v>
      </x:c>
      <x:c r="K42" s="72" t="str">
        <x:v>8.2</x:v>
      </x:c>
      <x:c r="L42" s="90" t="n">
        <x:v>0</x:v>
      </x:c>
      <x:c r="M42" s="75" t="str">
        <x:v>高</x:v>
      </x:c>
      <x:c r="N42" s="75" t="str">
        <x:v>是</x:v>
      </x:c>
      <x:c r="O42" s="94" t="str">
        <x:f>IF(AND(O6&gt;=$H42,O6&lt;=$I42),IF(O6&lt;=$H42+ROUND($J42*$L42,0)-1,2,1),"")</x:f>
      </x:c>
      <x:c r="P42" s="94" t="str">
        <x:f>IF(AND(P6&gt;=$H42,P6&lt;=$I42),IF(P6&lt;=$H42+ROUND($J42*$L42,0)-1,2,1),"")</x:f>
      </x:c>
      <x:c r="Q42" s="94" t="str">
        <x:f>IF(AND(Q6&gt;=$H42,Q6&lt;=$I42),IF(Q6&lt;=$H42+ROUND($J42*$L42,0)-1,2,1),"")</x:f>
      </x:c>
      <x:c r="R42" s="94" t="str">
        <x:f>IF(AND(R6&gt;=$H42,R6&lt;=$I42),IF(R6&lt;=$H42+ROUND($J42*$L42,0)-1,2,1),"")</x:f>
      </x:c>
      <x:c r="S42" s="94" t="str">
        <x:f>IF(AND(S6&gt;=$H42,S6&lt;=$I42),IF(S6&lt;=$H42+ROUND($J42*$L42,0)-1,2,1),"")</x:f>
      </x:c>
      <x:c r="T42" s="94" t="str">
        <x:f>IF(AND(T6&gt;=$H42,T6&lt;=$I42),IF(T6&lt;=$H42+ROUND($J42*$L42,0)-1,2,1),"")</x:f>
      </x:c>
      <x:c r="U42" s="94" t="str">
        <x:f>IF(AND(U6&gt;=$H42,U6&lt;=$I42),IF(U6&lt;=$H42+ROUND($J42*$L42,0)-1,2,1),"")</x:f>
      </x:c>
      <x:c r="V42" s="94" t="str">
        <x:f>IF(AND(V6&gt;=$H42,V6&lt;=$I42),IF(V6&lt;=$H42+ROUND($J42*$L42,0)-1,2,1),"")</x:f>
      </x:c>
      <x:c r="W42" s="94" t="str">
        <x:f>IF(AND(W6&gt;=$H42,W6&lt;=$I42),IF(W6&lt;=$H42+ROUND($J42*$L42,0)-1,2,1),"")</x:f>
      </x:c>
      <x:c r="X42" s="94" t="str">
        <x:f>IF(AND(X6&gt;=$H42,X6&lt;=$I42),IF(X6&lt;=$H42+ROUND($J42*$L42,0)-1,2,1),"")</x:f>
      </x:c>
      <x:c r="Y42" s="94" t="str">
        <x:f>IF(AND(Y6&gt;=$H42,Y6&lt;=$I42),IF(Y6&lt;=$H42+ROUND($J42*$L42,0)-1,2,1),"")</x:f>
      </x:c>
      <x:c r="Z42" s="94" t="str">
        <x:f>IF(AND(Z6&gt;=$H42,Z6&lt;=$I42),IF(Z6&lt;=$H42+ROUND($J42*$L42,0)-1,2,1),"")</x:f>
      </x:c>
      <x:c r="AA42" s="94" t="str">
        <x:f>IF(AND(AA6&gt;=$H42,AA6&lt;=$I42),IF(AA6&lt;=$H42+ROUND($J42*$L42,0)-1,2,1),"")</x:f>
      </x:c>
      <x:c r="AB42" s="94" t="str">
        <x:f>IF(AND(AB6&gt;=$H42,AB6&lt;=$I42),IF(AB6&lt;=$H42+ROUND($J42*$L42,0)-1,2,1),"")</x:f>
      </x:c>
      <x:c r="AC42" s="94" t="str">
        <x:f>IF(AND(AC6&gt;=$H42,AC6&lt;=$I42),IF(AC6&lt;=$H42+ROUND($J42*$L42,0)-1,2,1),"")</x:f>
      </x:c>
      <x:c r="AD42" s="94" t="str">
        <x:f>IF(AND(AD6&gt;=$H42,AD6&lt;=$I42),IF(AD6&lt;=$H42+ROUND($J42*$L42,0)-1,2,1),"")</x:f>
      </x:c>
      <x:c r="AE42" s="94" t="str">
        <x:f>IF(AND(AE6&gt;=$H42,AE6&lt;=$I42),IF(AE6&lt;=$H42+ROUND($J42*$L42,0)-1,2,1),"")</x:f>
      </x:c>
      <x:c r="AF42" s="94" t="str">
        <x:f>IF(AND(AF6&gt;=$H42,AF6&lt;=$I42),IF(AF6&lt;=$H42+ROUND($J42*$L42,0)-1,2,1),"")</x:f>
      </x:c>
      <x:c r="AG42" s="94" t="str">
        <x:f>IF(AND(AG6&gt;=$H42,AG6&lt;=$I42),IF(AG6&lt;=$H42+ROUND($J42*$L42,0)-1,2,1),"")</x:f>
      </x:c>
      <x:c r="AH42" s="94" t="str">
        <x:f>IF(AND(AH6&gt;=$H42,AH6&lt;=$I42),IF(AH6&lt;=$H42+ROUND($J42*$L42,0)-1,2,1),"")</x:f>
      </x:c>
      <x:c r="AI42" s="94" t="str">
        <x:f>IF(AND(AI6&gt;=$H42,AI6&lt;=$I42),IF(AI6&lt;=$H42+ROUND($J42*$L42,0)-1,2,1),"")</x:f>
      </x:c>
      <x:c r="AJ42" s="94" t="str">
        <x:f>IF(AND(AJ6&gt;=$H42,AJ6&lt;=$I42),IF(AJ6&lt;=$H42+ROUND($J42*$L42,0)-1,2,1),"")</x:f>
      </x:c>
      <x:c r="AK42" s="94" t="n">
        <x:f>IF(AND(AK6&gt;=$H42,AK6&lt;=$I42),IF(AK6&lt;=$H42+ROUND($J42*$L42,0)-1,2,1),"")</x:f>
        <x:v>1</x:v>
      </x:c>
      <x:c r="AL42" s="94" t="str">
        <x:f>IF(AND(AL6&gt;=$H42,AL6&lt;=$I42),IF(AL6&lt;=$H42+ROUND($J42*$L42,0)-1,2,1),"")</x:f>
      </x:c>
      <x:c r="AM42" s="94" t="str">
        <x:f>IF(AND(AM6&gt;=$H42,AM6&lt;=$I42),IF(AM6&lt;=$H42+ROUND($J42*$L42,0)-1,2,1),"")</x:f>
      </x:c>
      <x:c r="AN42" s="94" t="str">
        <x:f>IF(AND(AN6&gt;=$H42,AN6&lt;=$I42),IF(AN6&lt;=$H42+ROUND($J42*$L42,0)-1,2,1),"")</x:f>
      </x:c>
      <x:c r="AO42" s="94" t="str">
        <x:f>IF(AND(AO6&gt;=$H42,AO6&lt;=$I42),IF(AO6&lt;=$H42+ROUND($J42*$L42,0)-1,2,1),"")</x:f>
      </x:c>
      <x:c r="AP42" s="94" t="str">
        <x:f>IF(AND(AP6&gt;=$H42,AP6&lt;=$I42),IF(AP6&lt;=$H42+ROUND($J42*$L42,0)-1,2,1),"")</x:f>
      </x:c>
      <x:c r="AQ42" s="94" t="str">
        <x:f>IF(AND(AQ6&gt;=$H42,AQ6&lt;=$I42),IF(AQ6&lt;=$H42+ROUND($J42*$L42,0)-1,2,1),"")</x:f>
      </x:c>
      <x:c r="AR42" s="94" t="str">
        <x:f>IF(AND(AR6&gt;=$H42,AR6&lt;=$I42),IF(AR6&lt;=$H42+ROUND($J42*$L42,0)-1,2,1),"")</x:f>
      </x:c>
      <x:c r="AS42" s="94" t="str">
        <x:f>IF(AND(AS6&gt;=$H42,AS6&lt;=$I42),IF(AS6&lt;=$H42+ROUND($J42*$L42,0)-1,2,1),"")</x:f>
      </x:c>
    </x:row>
  </x:sheetData>
  <x:mergeCells>
    <x:mergeCell ref="A1:AS1"/>
    <x:mergeCell ref="A2:AS2"/>
    <x:mergeCell ref="A3:B3"/>
    <x:mergeCell ref="C3:D3"/>
    <x:mergeCell ref="E3:F3"/>
    <x:mergeCell ref="G3:H3"/>
    <x:mergeCell ref="I3:J3"/>
    <x:mergeCell ref="K3:L3"/>
    <x:mergeCell ref="M3:N3"/>
    <x:mergeCell ref="O3:Q3"/>
    <x:mergeCell ref="A4:AS4"/>
    <x:mergeCell ref="A6:A7"/>
    <x:mergeCell ref="B6:B7"/>
    <x:mergeCell ref="C6:C7"/>
    <x:mergeCell ref="D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</x:mergeCells>
  <x:conditionalFormatting sqref="O8:AS42">
    <x:cfRule type="cellIs" dxfId="0" priority="1" operator="equal">
      <x:formula>2</x:formula>
    </x:cfRule>
    <x:cfRule type="cellIs" dxfId="1" priority="2" operator="equal">
      <x:formula>1</x:formula>
    </x:cfRule>
  </x:conditionalFormatting>
  <x:conditionalFormatting sqref="M8:M42">
    <x:cfRule type="containsText" dxfId="2" priority="3" operator="containsText" text="高"/>
    <x:cfRule type="containsText" dxfId="3" priority="4" operator="containsText" text="中"/>
  </x:conditionalFormatting>
  <x:conditionalFormatting sqref="L8:L42">
    <x:cfRule type="dataBar" priority="5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{1CBAD91E-6C35-E19E-483E-B113CA0406DF}</x14:id>
        </x:ext>
      </x:extLst>
    </x:cfRule>
  </x:conditionalFormatting>
  <x:conditionalFormatting sqref="O8:O42">
    <x:cfRule type="expression" dxfId="4" priority="6">
      <x:formula>AND(WEEKDAY(O6,2)&gt;5,O6&lt;$H8)</x:formula>
    </x:cfRule>
  </x:conditionalFormatting>
  <x:conditionalFormatting sqref="P8:P42">
    <x:cfRule type="expression" dxfId="5" priority="7">
      <x:formula>AND(WEEKDAY(P6,2)&gt;5,P6&lt;$H8)</x:formula>
    </x:cfRule>
  </x:conditionalFormatting>
  <x:conditionalFormatting sqref="Q8:Q42">
    <x:cfRule type="expression" dxfId="6" priority="8">
      <x:formula>AND(WEEKDAY(Q6,2)&gt;5,Q6&lt;$H8)</x:formula>
    </x:cfRule>
  </x:conditionalFormatting>
  <x:conditionalFormatting sqref="R8:R42">
    <x:cfRule type="expression" dxfId="7" priority="9">
      <x:formula>AND(WEEKDAY(R6,2)&gt;5,R6&lt;$H8)</x:formula>
    </x:cfRule>
  </x:conditionalFormatting>
  <x:conditionalFormatting sqref="S8:S42">
    <x:cfRule type="expression" dxfId="8" priority="10">
      <x:formula>AND(WEEKDAY(S6,2)&gt;5,S6&lt;$H8)</x:formula>
    </x:cfRule>
  </x:conditionalFormatting>
  <x:conditionalFormatting sqref="T8:T42">
    <x:cfRule type="expression" dxfId="9" priority="11">
      <x:formula>AND(WEEKDAY(T6,2)&gt;5,T6&lt;$H8)</x:formula>
    </x:cfRule>
  </x:conditionalFormatting>
  <x:conditionalFormatting sqref="U8:U42">
    <x:cfRule type="expression" dxfId="10" priority="12">
      <x:formula>AND(WEEKDAY(U6,2)&gt;5,U6&lt;$H8)</x:formula>
    </x:cfRule>
  </x:conditionalFormatting>
  <x:conditionalFormatting sqref="V8:V42">
    <x:cfRule type="expression" dxfId="11" priority="13">
      <x:formula>AND(WEEKDAY(V6,2)&gt;5,V6&lt;$H8)</x:formula>
    </x:cfRule>
  </x:conditionalFormatting>
  <x:conditionalFormatting sqref="W8:W42">
    <x:cfRule type="expression" dxfId="12" priority="14">
      <x:formula>AND(WEEKDAY(W6,2)&gt;5,W6&lt;$H8)</x:formula>
    </x:cfRule>
  </x:conditionalFormatting>
  <x:conditionalFormatting sqref="X8:X42">
    <x:cfRule type="expression" dxfId="13" priority="15">
      <x:formula>AND(WEEKDAY(X6,2)&gt;5,X6&lt;$H8)</x:formula>
    </x:cfRule>
  </x:conditionalFormatting>
  <x:conditionalFormatting sqref="Y8:Y42">
    <x:cfRule type="expression" dxfId="14" priority="16">
      <x:formula>AND(WEEKDAY(Y6,2)&gt;5,Y6&lt;$H8)</x:formula>
    </x:cfRule>
  </x:conditionalFormatting>
  <x:conditionalFormatting sqref="Z8:Z42">
    <x:cfRule type="expression" dxfId="15" priority="17">
      <x:formula>AND(WEEKDAY(Z6,2)&gt;5,Z6&lt;$H8)</x:formula>
    </x:cfRule>
  </x:conditionalFormatting>
  <x:conditionalFormatting sqref="AA8:AA42">
    <x:cfRule type="expression" dxfId="16" priority="18">
      <x:formula>AND(WEEKDAY(AA6,2)&gt;5,AA6&lt;$H8)</x:formula>
    </x:cfRule>
  </x:conditionalFormatting>
  <x:conditionalFormatting sqref="AB8:AB42">
    <x:cfRule type="expression" dxfId="17" priority="19">
      <x:formula>AND(WEEKDAY(AB6,2)&gt;5,AB6&lt;$H8)</x:formula>
    </x:cfRule>
  </x:conditionalFormatting>
  <x:conditionalFormatting sqref="AC8:AC42">
    <x:cfRule type="expression" dxfId="18" priority="20">
      <x:formula>AND(WEEKDAY(AC6,2)&gt;5,AC6&lt;$H8)</x:formula>
    </x:cfRule>
  </x:conditionalFormatting>
  <x:conditionalFormatting sqref="AD8:AD42">
    <x:cfRule type="expression" dxfId="19" priority="21">
      <x:formula>AND(WEEKDAY(AD6,2)&gt;5,AD6&lt;$H8)</x:formula>
    </x:cfRule>
  </x:conditionalFormatting>
  <x:conditionalFormatting sqref="AE8:AE42">
    <x:cfRule type="expression" dxfId="20" priority="22">
      <x:formula>AND(WEEKDAY(AE6,2)&gt;5,AE6&lt;$H8)</x:formula>
    </x:cfRule>
  </x:conditionalFormatting>
  <x:conditionalFormatting sqref="AF8:AF42">
    <x:cfRule type="expression" dxfId="21" priority="23">
      <x:formula>AND(WEEKDAY(AF6,2)&gt;5,AF6&lt;$H8)</x:formula>
    </x:cfRule>
  </x:conditionalFormatting>
  <x:conditionalFormatting sqref="AG8:AG42">
    <x:cfRule type="expression" dxfId="22" priority="24">
      <x:formula>AND(WEEKDAY(AG6,2)&gt;5,AG6&lt;$H8)</x:formula>
    </x:cfRule>
  </x:conditionalFormatting>
  <x:conditionalFormatting sqref="AH8:AH42">
    <x:cfRule type="expression" dxfId="23" priority="25">
      <x:formula>AND(WEEKDAY(AH6,2)&gt;5,AH6&lt;$H8)</x:formula>
    </x:cfRule>
  </x:conditionalFormatting>
  <x:conditionalFormatting sqref="AI8:AI42">
    <x:cfRule type="expression" dxfId="24" priority="26">
      <x:formula>AND(WEEKDAY(AI6,2)&gt;5,AI6&lt;$H8)</x:formula>
    </x:cfRule>
  </x:conditionalFormatting>
  <x:conditionalFormatting sqref="AJ8:AJ42">
    <x:cfRule type="expression" dxfId="25" priority="27">
      <x:formula>AND(WEEKDAY(AJ6,2)&gt;5,AJ6&lt;$H8)</x:formula>
    </x:cfRule>
  </x:conditionalFormatting>
  <x:conditionalFormatting sqref="AK8:AK42">
    <x:cfRule type="expression" dxfId="26" priority="28">
      <x:formula>AND(WEEKDAY(AK6,2)&gt;5,AK6&lt;$H8)</x:formula>
    </x:cfRule>
  </x:conditionalFormatting>
  <x:conditionalFormatting sqref="AL8:AL42">
    <x:cfRule type="expression" dxfId="27" priority="29">
      <x:formula>AND(WEEKDAY(AL6,2)&gt;5,AL6&lt;$H8)</x:formula>
    </x:cfRule>
  </x:conditionalFormatting>
  <x:conditionalFormatting sqref="AM8:AM42">
    <x:cfRule type="expression" dxfId="28" priority="30">
      <x:formula>AND(WEEKDAY(AM6,2)&gt;5,AM6&lt;$H8)</x:formula>
    </x:cfRule>
  </x:conditionalFormatting>
  <x:conditionalFormatting sqref="AN8:AN42">
    <x:cfRule type="expression" dxfId="29" priority="31">
      <x:formula>AND(WEEKDAY(AN6,2)&gt;5,AN6&lt;$H8)</x:formula>
    </x:cfRule>
  </x:conditionalFormatting>
  <x:conditionalFormatting sqref="AO8:AO42">
    <x:cfRule type="expression" dxfId="30" priority="32">
      <x:formula>AND(WEEKDAY(AO6,2)&gt;5,AO6&lt;$H8)</x:formula>
    </x:cfRule>
  </x:conditionalFormatting>
  <x:conditionalFormatting sqref="AP8:AP42">
    <x:cfRule type="expression" dxfId="31" priority="33">
      <x:formula>AND(WEEKDAY(AP6,2)&gt;5,AP6&lt;$H8)</x:formula>
    </x:cfRule>
  </x:conditionalFormatting>
  <x:conditionalFormatting sqref="AQ8:AQ42">
    <x:cfRule type="expression" dxfId="32" priority="34">
      <x:formula>AND(WEEKDAY(AQ6,2)&gt;5,AQ6&lt;$H8)</x:formula>
    </x:cfRule>
  </x:conditionalFormatting>
  <x:conditionalFormatting sqref="AR8:AR42">
    <x:cfRule type="expression" dxfId="33" priority="35">
      <x:formula>AND(WEEKDAY(AR6,2)&gt;5,AR6&lt;$H8)</x:formula>
    </x:cfRule>
  </x:conditionalFormatting>
  <x:conditionalFormatting sqref="AS8:AS42">
    <x:cfRule type="expression" dxfId="34" priority="36">
      <x:formula>AND(WEEKDAY(AS6,2)&gt;5,AS6&lt;$H8)</x:formula>
    </x:cfRule>
  </x:conditionalFormatting>
  <x:dataValidations count="3">
    <x:dataValidation type="decimal" operator="between" sqref="L8:L42">
      <x:formula1>0</x:formula1>
      <x:formula2>1</x:formula2>
    </x:dataValidation>
    <x:dataValidation type="list" sqref="M8:M42">
      <x:formula1>"低,中,高"</x:formula1>
    </x:dataValidation>
    <x:dataValidation type="list" sqref="N8:N42">
      <x:formula1>"是,否"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1CBAD91E-6C35-E19E-483E-B113CA0406DF}">
            <x14:dataBar gradient="1">
              <x14:cfvo type="min"/>
              <x14:cfvo type="max"/>
              <x14:fillColor rgb="FF2563EB"/>
            </x14:dataBar>
          </x14:cfRule>
          <xm:sqref>L8:L42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32" hidden="0" customWidth="1"/>
    <x:col min="4" max="4" width="28" hidden="0" customWidth="1"/>
    <x:col min="5" max="5" width="50" hidden="0" customWidth="1"/>
    <x:col min="6" max="6" width="22" hidden="0" customWidth="1"/>
    <x:col min="7" max="7" width="13" hidden="0" customWidth="1"/>
    <x:col min="8" max="8" width="12" hidden="0" customWidth="1"/>
  </x:cols>
  <x:sheetData>
    <x:row r="1">
      <x:c r="A1" s="3" t="str">
        <x:v>里程碑与风险清单</x:v>
      </x:c>
      <x:c r="B1" s="3"/>
      <x:c r="C1" s="3"/>
      <x:c r="D1" s="3"/>
      <x:c r="E1" s="3"/>
      <x:c r="F1" s="3"/>
      <x:c r="G1" s="3"/>
      <x:c r="H1" s="3"/>
    </x:row>
    <x:row r="3">
      <x:c r="A3" s="95" t="str">
        <x:v>编号</x:v>
      </x:c>
      <x:c r="B3" s="95" t="str">
        <x:v>里程碑</x:v>
      </x:c>
      <x:c r="C3" s="95" t="str">
        <x:v>计划日期</x:v>
      </x:c>
      <x:c r="D3" s="95" t="str">
        <x:v>对应WBS</x:v>
      </x:c>
      <x:c r="E3" s="95" t="str">
        <x:v>责任人</x:v>
      </x:c>
      <x:c r="F3" s="95" t="str">
        <x:v>级别</x:v>
      </x:c>
    </x:row>
    <x:row r="4" ht="27" customHeight="1">
      <x:c r="A4" s="11" t="str">
        <x:v>M1</x:v>
      </x:c>
      <x:c r="B4" s="11" t="str">
        <x:v>基础数据完成导入</x:v>
      </x:c>
      <x:c r="C4" s="96" t="n">
        <x:v>46241</x:v>
      </x:c>
      <x:c r="D4" s="11" t="str">
        <x:v>1.3</x:v>
      </x:c>
      <x:c r="E4" s="11" t="str">
        <x:v>陈素梅 / 胡丹</x:v>
      </x:c>
      <x:c r="F4" s="11" t="str">
        <x:v>高</x:v>
      </x:c>
    </x:row>
    <x:row r="5" ht="27" customHeight="1">
      <x:c r="A5" s="11" t="str">
        <x:v>M2</x:v>
      </x:c>
      <x:c r="B5" s="11" t="str">
        <x:v>组织隔离及审批权限完成</x:v>
      </x:c>
      <x:c r="C5" s="96" t="n">
        <x:v>46248</x:v>
      </x:c>
      <x:c r="D5" s="11" t="str">
        <x:v>2.6</x:v>
      </x:c>
      <x:c r="E5" s="11" t="str">
        <x:v>徐贵艳 / 胡丹</x:v>
      </x:c>
      <x:c r="F5" s="11" t="str">
        <x:v>高</x:v>
      </x:c>
    </x:row>
    <x:row r="6" ht="27" customHeight="1">
      <x:c r="A6" s="11" t="str">
        <x:v>M3</x:v>
      </x:c>
      <x:c r="B6" s="11" t="str">
        <x:v>外部系统联合验收</x:v>
      </x:c>
      <x:c r="C6" s="96" t="n">
        <x:v>46250</x:v>
      </x:c>
      <x:c r="D6" s="11" t="str">
        <x:v>3.7</x:v>
      </x:c>
      <x:c r="E6" s="11" t="str">
        <x:v>徐贵艳 / 胡丹</x:v>
      </x:c>
      <x:c r="F6" s="11" t="str">
        <x:v>高</x:v>
      </x:c>
    </x:row>
    <x:row r="7" ht="27" customHeight="1">
      <x:c r="A7" s="11" t="str">
        <x:v>M4</x:v>
      </x:c>
      <x:c r="B7" s="11" t="str">
        <x:v>核心业务P0/P1关闭</x:v>
      </x:c>
      <x:c r="C7" s="96" t="n">
        <x:v>46247</x:v>
      </x:c>
      <x:c r="D7" s="11" t="str">
        <x:v>4.5</x:v>
      </x:c>
      <x:c r="E7" s="11" t="str">
        <x:v>任羲宸 / 樊宗豪</x:v>
      </x:c>
      <x:c r="F7" s="11" t="str">
        <x:v>高</x:v>
      </x:c>
    </x:row>
    <x:row r="8" ht="27" customHeight="1">
      <x:c r="A8" s="11" t="str">
        <x:v>M5</x:v>
      </x:c>
      <x:c r="B8" s="11" t="str">
        <x:v>用户验收测试完成</x:v>
      </x:c>
      <x:c r="C8" s="96" t="n">
        <x:v>46253</x:v>
      </x:c>
      <x:c r="D8" s="11" t="str">
        <x:v>5.5</x:v>
      </x:c>
      <x:c r="E8" s="11" t="str">
        <x:v>任羲宸 / 卢志悟</x:v>
      </x:c>
      <x:c r="F8" s="11" t="str">
        <x:v>高</x:v>
      </x:c>
    </x:row>
    <x:row r="9" ht="27" customHeight="1">
      <x:c r="A9" s="11" t="str">
        <x:v>M6</x:v>
      </x:c>
      <x:c r="B9" s="11" t="str">
        <x:v>生产环境正式发布</x:v>
      </x:c>
      <x:c r="C9" s="96" t="n">
        <x:v>46252</x:v>
      </x:c>
      <x:c r="D9" s="11" t="str">
        <x:v>6.3</x:v>
      </x:c>
      <x:c r="E9" s="11" t="str">
        <x:v>徐贵艳 / 周公策</x:v>
      </x:c>
      <x:c r="F9" s="11" t="str">
        <x:v>高</x:v>
      </x:c>
    </x:row>
    <x:row r="10" ht="27" customHeight="1">
      <x:c r="A10" s="11" t="str">
        <x:v>M7</x:v>
      </x:c>
      <x:c r="B10" s="11" t="str">
        <x:v>用户培训完成</x:v>
      </x:c>
      <x:c r="C10" s="96" t="n">
        <x:v>46253</x:v>
      </x:c>
      <x:c r="D10" s="11" t="str">
        <x:v>7.2</x:v>
      </x:c>
      <x:c r="E10" s="11" t="str">
        <x:v>徐贵艳 / 任羲宸</x:v>
      </x:c>
      <x:c r="F10" s="11" t="str">
        <x:v>中</x:v>
      </x:c>
    </x:row>
    <x:row r="11" ht="27" customHeight="1">
      <x:c r="A11" s="11" t="str">
        <x:v>M8</x:v>
      </x:c>
      <x:c r="B11" s="11" t="str">
        <x:v>项目验收</x:v>
      </x:c>
      <x:c r="C11" s="96" t="n">
        <x:v>46259</x:v>
      </x:c>
      <x:c r="D11" s="11" t="str">
        <x:v>8.3</x:v>
      </x:c>
      <x:c r="E11" s="11" t="str">
        <x:v>徐贵艳 / 任羲宸</x:v>
      </x:c>
      <x:c r="F11" s="11" t="str">
        <x:v>高</x:v>
      </x:c>
    </x:row>
    <x:row r="14">
      <x:c r="A14" s="100" t="str">
        <x:v>编号</x:v>
      </x:c>
      <x:c r="B14" s="100" t="str">
        <x:v>风险主题</x:v>
      </x:c>
      <x:c r="C14" s="100" t="str">
        <x:v>触发条件</x:v>
      </x:c>
      <x:c r="D14" s="100" t="str">
        <x:v>影响</x:v>
      </x:c>
      <x:c r="E14" s="100" t="str">
        <x:v>应对措施</x:v>
      </x:c>
      <x:c r="F14" s="100" t="str">
        <x:v>责任人</x:v>
      </x:c>
      <x:c r="G14" s="100" t="str">
        <x:v>控制日期</x:v>
      </x:c>
      <x:c r="H14" s="100" t="str">
        <x:v>状态</x:v>
      </x:c>
    </x:row>
    <x:row r="15" ht="48" customHeight="1">
      <x:c r="A15" s="11" t="str">
        <x:v>R1</x:v>
      </x:c>
      <x:c r="B15" s="11" t="str">
        <x:v>组织数据隔离</x:v>
      </x:c>
      <x:c r="C15" s="11" t="str">
        <x:v>审批责任矩阵或数据边界迟迟未冻结</x:v>
      </x:c>
      <x:c r="D15" s="11" t="str">
        <x:v>越权或跨组织数据泄露</x:v>
      </x:c>
      <x:c r="E15" s="11" t="str">
        <x:v>先冻结组织×角色×数据范围矩阵，再开发API过滤；前端隐藏不代替后端校验</x:v>
      </x:c>
      <x:c r="F15" s="11" t="str">
        <x:v>徐贵艳 / 胡丹</x:v>
      </x:c>
      <x:c r="G15" s="96" t="n">
        <x:v>46239</x:v>
      </x:c>
      <x:c r="H15" s="101" t="str">
        <x:v>开放</x:v>
      </x:c>
    </x:row>
    <x:row r="16" ht="48" customHeight="1">
      <x:c r="A16" s="11" t="str">
        <x:v>R2</x:v>
      </x:c>
      <x:c r="B16" s="11" t="str">
        <x:v>外部系统接口</x:v>
      </x:c>
      <x:c r="C16" s="11" t="str">
        <x:v>接口文档、测试账号或对方环境未按期提供</x:v>
      </x:c>
      <x:c r="D16" s="11" t="str">
        <x:v>OA/华溯之家/十方清源联调延期</x:v>
      </x:c>
      <x:c r="E16" s="11" t="str">
        <x:v>建立接口清单、模拟服务和每日联调窗口，异常统一登记</x:v>
      </x:c>
      <x:c r="F16" s="11" t="str">
        <x:v>徐贵艳 / 胡丹</x:v>
      </x:c>
      <x:c r="G16" s="96" t="n">
        <x:v>46240</x:v>
      </x:c>
      <x:c r="H16" s="101" t="str">
        <x:v>开放</x:v>
      </x:c>
    </x:row>
    <x:row r="17" ht="48" customHeight="1">
      <x:c r="A17" s="11" t="str">
        <x:v>R3</x:v>
      </x:c>
      <x:c r="B17" s="11" t="str">
        <x:v>数据初始化</x:v>
      </x:c>
      <x:c r="C17" s="11" t="str">
        <x:v>业务源数据编码重复、字段缺失或库存口径不一致</x:v>
      </x:c>
      <x:c r="D17" s="11" t="str">
        <x:v>导入失败或期初数据不可信</x:v>
      </x:c>
      <x:c r="E17" s="11" t="str">
        <x:v>分批清洗、导入前校验、导入后总量与抽样双核对</x:v>
      </x:c>
      <x:c r="F17" s="11" t="str">
        <x:v>陈素梅 / 胡丹</x:v>
      </x:c>
      <x:c r="G17" s="96" t="n">
        <x:v>46241</x:v>
      </x:c>
      <x:c r="H17" s="101" t="str">
        <x:v>处理中</x:v>
      </x:c>
    </x:row>
    <x:row r="18" ht="48" customHeight="1">
      <x:c r="A18" s="11" t="str">
        <x:v>R4</x:v>
      </x:c>
      <x:c r="B18" s="11" t="str">
        <x:v>核心业务回归</x:v>
      </x:c>
      <x:c r="C18" s="11" t="str">
        <x:v>跨模块状态或单据关联存在遗漏</x:v>
      </x:c>
      <x:c r="D18" s="11" t="str">
        <x:v>三大场景无法闭环</x:v>
      </x:c>
      <x:c r="E18" s="11" t="str">
        <x:v>按销售闭环、盘点、领用三条验收用例逐节点验证</x:v>
      </x:c>
      <x:c r="F18" s="11" t="str">
        <x:v>任羲宸 / 卢志悟</x:v>
      </x:c>
      <x:c r="G18" s="96" t="n">
        <x:v>46249</x:v>
      </x:c>
      <x:c r="H18" s="101" t="str">
        <x:v>开放</x:v>
      </x:c>
    </x:row>
    <x:row r="19" ht="48" customHeight="1">
      <x:c r="A19" s="11" t="str">
        <x:v>R5</x:v>
      </x:c>
      <x:c r="B19" s="11" t="str">
        <x:v>生产部署</x:v>
      </x:c>
      <x:c r="C19" s="11" t="str">
        <x:v>生产环境参数、备份或回滚未验证</x:v>
      </x:c>
      <x:c r="D19" s="11" t="str">
        <x:v>发布后无法快速恢复</x:v>
      </x:c>
      <x:c r="E19" s="11" t="str">
        <x:v>发布前完成镜像、数据库备份与回滚演练</x:v>
      </x:c>
      <x:c r="F19" s="11" t="str">
        <x:v>徐贵艳 / 周公策</x:v>
      </x:c>
      <x:c r="G19" s="96" t="n">
        <x:v>46251</x:v>
      </x:c>
      <x:c r="H19" s="101" t="str">
        <x:v>开放</x:v>
      </x:c>
    </x:row>
    <x:row r="20" ht="48" customHeight="1">
      <x:c r="A20" s="11" t="str">
        <x:v>R6</x:v>
      </x:c>
      <x:c r="B20" s="11" t="str">
        <x:v>人员投入</x:v>
      </x:c>
      <x:c r="C20" s="11" t="str">
        <x:v>关键业务负责人或外部系统方无法按计划参与</x:v>
      </x:c>
      <x:c r="D20" s="11" t="str">
        <x:v>需求确认与UAT排队</x:v>
      </x:c>
      <x:c r="E20" s="11" t="str">
        <x:v>提前锁定每日确认窗口，逾期事项升级到项目负责人</x:v>
      </x:c>
      <x:c r="F20" s="11" t="str">
        <x:v>徐贵艳</x:v>
      </x:c>
      <x:c r="G20" s="96" t="n">
        <x:v>46239</x:v>
      </x:c>
      <x:c r="H20" s="101" t="str">
        <x:v>开放</x:v>
      </x:c>
    </x:row>
  </x:sheetData>
  <x:mergeCells>
    <x:mergeCell ref="A1:H1"/>
  </x:mergeCells>
  <x:conditionalFormatting sqref="F4:F11">
    <x:cfRule type="containsText" dxfId="35" priority="1" operator="containsText" text="高"/>
  </x:conditionalFormatting>
  <x:dataValidations count="1">
    <x:dataValidation type="list" sqref="H15:H20">
      <x:formula1>"开放,处理中,已关闭"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3" t="str">
        <x:v>华溯管家 · 项目实施计划参数与使用说明</x:v>
      </x:c>
      <x:c r="B1" s="3"/>
      <x:c r="C1" s="3"/>
      <x:c r="D1" s="3"/>
      <x:c r="E1" s="3"/>
      <x:c r="F1" s="3"/>
      <x:c r="G1" s="3"/>
      <x:c r="H1" s="3"/>
    </x:row>
    <x:row r="3">
      <x:c r="A3" s="5" t="str">
        <x:v>参数</x:v>
      </x:c>
      <x:c r="B3" s="5" t="str">
        <x:v>可编辑值</x:v>
      </x:c>
    </x:row>
    <x:row r="4">
      <x:c r="A4" t="str">
        <x:v>计划基准日期</x:v>
      </x:c>
      <x:c r="B4" s="18" t="n">
        <x:v>46237</x:v>
      </x:c>
    </x:row>
    <x:row r="5">
      <x:c r="A5" t="str">
        <x:v>项目负责人</x:v>
      </x:c>
      <x:c r="B5" s="19" t="str">
        <x:v>任羲宸</x:v>
      </x:c>
    </x:row>
    <x:row r="6">
      <x:c r="A6" t="str">
        <x:v>指定业务数据库</x:v>
      </x:c>
      <x:c r="B6" s="19" t="str">
        <x:v>hspsi-dev-ai-02</x:v>
      </x:c>
    </x:row>
    <x:row r="7">
      <x:c r="A7" t="str">
        <x:v>时间轴显示天数</x:v>
      </x:c>
      <x:c r="B7" s="19" t="n">
        <x:v>31</x:v>
      </x:c>
    </x:row>
    <x:row r="8">
      <x:c r="A8" t="str">
        <x:v>计划版本</x:v>
      </x:c>
      <x:c r="B8" s="19" t="str">
        <x:v>2026-08-03 基线</x:v>
      </x:c>
    </x:row>
    <x:row r="10">
      <x:c r="A10" s="8" t="str">
        <x:v>编辑方法</x:v>
      </x:c>
      <x:c r="B10" s="8"/>
      <x:c r="C10" s="8"/>
      <x:c r="D10" s="8"/>
      <x:c r="E10" s="8"/>
      <x:c r="F10" s="8"/>
      <x:c r="G10" s="8"/>
      <x:c r="H10" s="8"/>
    </x:row>
    <x:row r="11">
      <x:c r="A11" s="11" t="str">
        <x:v>1</x:v>
      </x:c>
      <x:c r="B11" s="11" t="str">
        <x:v>在“项目甘特图”中修改开始日期、完成日期和完成进度，右侧甘特条会自动变化。</x:v>
      </x:c>
      <x:c r="C11" s="11"/>
      <x:c r="D11" s="11"/>
      <x:c r="E11" s="11"/>
      <x:c r="F11" s="11"/>
      <x:c r="G11" s="11"/>
      <x:c r="H11" s="11"/>
    </x:row>
    <x:row r="12">
      <x:c r="A12" s="11" t="str">
        <x:v>2</x:v>
      </x:c>
      <x:c r="B12" s="11" t="str">
        <x:v>黄色输入列为可编辑字段；状态、工期和甘特条均由公式计算。</x:v>
      </x:c>
      <x:c r="C12" s="11"/>
      <x:c r="D12" s="11"/>
      <x:c r="E12" s="11"/>
      <x:c r="F12" s="11"/>
      <x:c r="G12" s="11"/>
      <x:c r="H12" s="11"/>
    </x:row>
    <x:row r="13">
      <x:c r="A13" s="11" t="str">
        <x:v>3</x:v>
      </x:c>
      <x:c r="B13" s="11" t="str">
        <x:v>完成进度填写0%—100%；关键路径用于识别会直接影响上线日期的任务。</x:v>
      </x:c>
      <x:c r="C13" s="11"/>
      <x:c r="D13" s="11"/>
      <x:c r="E13" s="11"/>
      <x:c r="F13" s="11"/>
      <x:c r="G13" s="11"/>
      <x:c r="H13" s="11"/>
    </x:row>
    <x:row r="14">
      <x:c r="A14" s="11" t="str">
        <x:v>4</x:v>
      </x:c>
      <x:c r="B14" s="11" t="str">
        <x:v>如需整体平移计划，只需修改各任务起止日期；时间轴基准日期可在本页B4修改。</x:v>
      </x:c>
      <x:c r="C14" s="11"/>
      <x:c r="D14" s="11"/>
      <x:c r="E14" s="11"/>
      <x:c r="F14" s="11"/>
      <x:c r="G14" s="11"/>
      <x:c r="H14" s="11"/>
    </x:row>
    <x:row r="15">
      <x:c r="A15" s="11" t="str">
        <x:v>5</x:v>
      </x:c>
      <x:c r="B15" s="11" t="str">
        <x:v>当前重新评估后的计划完成日期为2026-08-25，主要卡点是组织数据隔离与外部系统联调。</x:v>
      </x:c>
      <x:c r="C15" s="11"/>
      <x:c r="D15" s="11"/>
      <x:c r="E15" s="11"/>
      <x:c r="F15" s="11"/>
      <x:c r="G15" s="11"/>
      <x:c r="H15" s="11"/>
    </x:row>
    <x:row r="16">
      <x:c r="A16" s="11" t="str">
        <x:v>6</x:v>
      </x:c>
      <x:c r="B16" s="11" t="str">
        <x:v>本计划以当前代码实现为基线：核心业务链以回归收口为主，不把既有功能按从零开发估时。</x:v>
      </x:c>
      <x:c r="C16" s="11"/>
      <x:c r="D16" s="11"/>
      <x:c r="E16" s="11"/>
      <x:c r="F16" s="11"/>
      <x:c r="G16" s="11"/>
      <x:c r="H16" s="11"/>
    </x:row>
    <x:row r="18">
      <x:c r="A18" s="8" t="str">
        <x:v>颜色图例</x:v>
      </x:c>
      <x:c r="B18" s="8"/>
      <x:c r="C18" s="8"/>
      <x:c r="D18" s="8"/>
      <x:c r="E18" s="8"/>
      <x:c r="F18" s="8"/>
      <x:c r="G18" s="8"/>
      <x:c r="H18" s="8"/>
    </x:row>
    <x:row r="19">
      <x:c r="A19" s="13" t="str">
        <x:v>深蓝</x:v>
      </x:c>
      <x:c r="B19" t="str">
        <x:v>已完成区间</x:v>
      </x:c>
    </x:row>
    <x:row r="20">
      <x:c r="A20" s="14" t="str">
        <x:v>浅蓝</x:v>
      </x:c>
      <x:c r="B20" t="str">
        <x:v>计划执行区间</x:v>
      </x:c>
    </x:row>
    <x:row r="21">
      <x:c r="A21" s="15" t="str">
        <x:v>橙色</x:v>
      </x:c>
      <x:c r="B21" t="str">
        <x:v>中风险</x:v>
      </x:c>
    </x:row>
    <x:row r="22">
      <x:c r="A22" s="16" t="str">
        <x:v>红色</x:v>
      </x:c>
      <x:c r="B22" t="str">
        <x:v>高风险/关键阻断</x:v>
      </x:c>
    </x:row>
    <x:row r="23">
      <x:c r="A23" s="17" t="str">
        <x:v>浅灰</x:v>
      </x:c>
      <x:c r="B23" t="str">
        <x:v>周末</x:v>
      </x:c>
    </x:row>
  </x:sheetData>
  <x:mergeCells>
    <x:mergeCell ref="A1:H1"/>
    <x:mergeCell ref="A10:H10"/>
    <x:mergeCell ref="B11:H11"/>
    <x:mergeCell ref="B12:H12"/>
    <x:mergeCell ref="B13:H13"/>
    <x:mergeCell ref="B14:H14"/>
    <x:mergeCell ref="B15:H15"/>
    <x:mergeCell ref="B16:H16"/>
    <x:mergeCell ref="A18:H18"/>
  </x:mergeCells>
  <x:pageMargins left="0.7" right="0.7" top="0.75" bottom="0.75" header="0.3" footer="0.3"/>
</x:worksheet>
</file>